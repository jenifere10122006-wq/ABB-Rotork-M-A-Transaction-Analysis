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4c74292257e9662/Documents/BP_Commodity_Valuation/"/>
    </mc:Choice>
  </mc:AlternateContent>
  <xr:revisionPtr revIDLastSave="0" documentId="8_{F991331D-E3C2-4A16-BCA0-2C7975DAEB95}" xr6:coauthVersionLast="47" xr6:coauthVersionMax="47" xr10:uidLastSave="{00000000-0000-0000-0000-000000000000}"/>
  <bookViews>
    <workbookView xWindow="-120" yWindow="-120" windowWidth="20730" windowHeight="11040" firstSheet="2" activeTab="5" xr2:uid="{00000000-000D-0000-FFFF-FFFF00000000}"/>
  </bookViews>
  <sheets>
    <sheet name="Transaction Summary" sheetId="1" r:id="rId1"/>
    <sheet name="ABB Financials" sheetId="2" r:id="rId2"/>
    <sheet name="Rotork Financials" sheetId="3" r:id="rId3"/>
    <sheet name="Transaction &amp; Financing" sheetId="4" r:id="rId4"/>
    <sheet name="Accretion-Dilution" sheetId="5" r:id="rId5"/>
    <sheet name="Sensitivity &amp; Sourc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6" l="1"/>
  <c r="A6" i="6"/>
  <c r="C26" i="5"/>
  <c r="B26" i="5"/>
  <c r="C17" i="5"/>
  <c r="B17" i="5"/>
  <c r="C13" i="5"/>
  <c r="B13" i="5"/>
  <c r="C8" i="5"/>
  <c r="B8" i="5"/>
  <c r="B86" i="4"/>
  <c r="B79" i="4"/>
  <c r="C15" i="5" s="1"/>
  <c r="B78" i="4"/>
  <c r="B74" i="4"/>
  <c r="B64" i="4"/>
  <c r="B67" i="4" s="1"/>
  <c r="B63" i="4"/>
  <c r="B66" i="4" s="1"/>
  <c r="B62" i="4"/>
  <c r="C61" i="4"/>
  <c r="B61" i="4"/>
  <c r="C60" i="4"/>
  <c r="B60" i="4"/>
  <c r="C59" i="4"/>
  <c r="B59" i="4"/>
  <c r="B54" i="4"/>
  <c r="B52" i="4"/>
  <c r="C52" i="4" s="1"/>
  <c r="C48" i="4"/>
  <c r="C63" i="4" s="1"/>
  <c r="B48" i="4"/>
  <c r="B46" i="4"/>
  <c r="C46" i="4" s="1"/>
  <c r="B45" i="4"/>
  <c r="C45" i="4" s="1"/>
  <c r="B41" i="4"/>
  <c r="C41" i="4" s="1"/>
  <c r="B40" i="4"/>
  <c r="C40" i="4" s="1"/>
  <c r="C39" i="4"/>
  <c r="B39" i="4"/>
  <c r="B38" i="4"/>
  <c r="C38" i="4" s="1"/>
  <c r="B75" i="4" s="1"/>
  <c r="B36" i="4"/>
  <c r="C36" i="4" s="1"/>
  <c r="B35" i="4"/>
  <c r="C35" i="4" s="1"/>
  <c r="D31" i="3"/>
  <c r="C31" i="3"/>
  <c r="B31" i="3"/>
  <c r="D30" i="3"/>
  <c r="C30" i="3"/>
  <c r="B30" i="3"/>
  <c r="E21" i="3"/>
  <c r="E22" i="3" s="1"/>
  <c r="E20" i="3"/>
  <c r="E19" i="3"/>
  <c r="F19" i="3" s="1"/>
  <c r="G19" i="3" s="1"/>
  <c r="F18" i="3"/>
  <c r="E18" i="3"/>
  <c r="E17" i="3"/>
  <c r="D17" i="3"/>
  <c r="C17" i="3"/>
  <c r="B17" i="3"/>
  <c r="E16" i="3"/>
  <c r="F16" i="3" s="1"/>
  <c r="F15" i="3"/>
  <c r="G15" i="3" s="1"/>
  <c r="E15" i="3"/>
  <c r="E14" i="3"/>
  <c r="F14" i="3" s="1"/>
  <c r="G14" i="3" s="1"/>
  <c r="D13" i="3"/>
  <c r="C13" i="3"/>
  <c r="B53" i="4" s="1"/>
  <c r="B13" i="3"/>
  <c r="F12" i="3"/>
  <c r="G12" i="3" s="1"/>
  <c r="E12" i="3"/>
  <c r="E11" i="3"/>
  <c r="F11" i="3" s="1"/>
  <c r="G11" i="3" s="1"/>
  <c r="D10" i="3"/>
  <c r="C10" i="3"/>
  <c r="B10" i="3"/>
  <c r="F9" i="3"/>
  <c r="F10" i="3" s="1"/>
  <c r="E9" i="3"/>
  <c r="E10" i="3" s="1"/>
  <c r="E8" i="3"/>
  <c r="F8" i="3" s="1"/>
  <c r="G8" i="3" s="1"/>
  <c r="F7" i="3"/>
  <c r="E7" i="3"/>
  <c r="C7" i="3"/>
  <c r="F6" i="3"/>
  <c r="G6" i="3" s="1"/>
  <c r="G7" i="3" s="1"/>
  <c r="E6" i="3"/>
  <c r="B35" i="2"/>
  <c r="C26" i="2"/>
  <c r="B26" i="2"/>
  <c r="D25" i="2"/>
  <c r="D26" i="2" s="1"/>
  <c r="E18" i="2"/>
  <c r="F18" i="2" s="1"/>
  <c r="G18" i="2" s="1"/>
  <c r="E17" i="2"/>
  <c r="F17" i="2" s="1"/>
  <c r="G17" i="2" s="1"/>
  <c r="E15" i="2"/>
  <c r="F15" i="2" s="1"/>
  <c r="E14" i="2"/>
  <c r="E16" i="2" s="1"/>
  <c r="D13" i="2"/>
  <c r="B26" i="4" s="1"/>
  <c r="C13" i="2"/>
  <c r="B13" i="2"/>
  <c r="E11" i="2"/>
  <c r="F11" i="2" s="1"/>
  <c r="G11" i="2" s="1"/>
  <c r="D10" i="2"/>
  <c r="C10" i="2"/>
  <c r="B10" i="2"/>
  <c r="F9" i="2"/>
  <c r="E9" i="2"/>
  <c r="E8" i="2"/>
  <c r="F8" i="2" s="1"/>
  <c r="C7" i="2"/>
  <c r="E6" i="2"/>
  <c r="E7" i="2" s="1"/>
  <c r="B21" i="1"/>
  <c r="B20" i="1"/>
  <c r="G19" i="1"/>
  <c r="B18" i="1"/>
  <c r="B17" i="1"/>
  <c r="B16" i="1"/>
  <c r="B13" i="1"/>
  <c r="G10" i="1"/>
  <c r="C95" i="4" l="1"/>
  <c r="B95" i="4"/>
  <c r="C68" i="4"/>
  <c r="F20" i="3"/>
  <c r="G8" i="2"/>
  <c r="F12" i="2"/>
  <c r="C66" i="4"/>
  <c r="A8" i="6" s="1"/>
  <c r="B55" i="4"/>
  <c r="C53" i="4"/>
  <c r="F10" i="2"/>
  <c r="G15" i="2"/>
  <c r="C20" i="5" s="1"/>
  <c r="B20" i="5"/>
  <c r="F17" i="3"/>
  <c r="G16" i="3"/>
  <c r="G17" i="3" s="1"/>
  <c r="B65" i="4"/>
  <c r="G9" i="2"/>
  <c r="E13" i="2"/>
  <c r="F13" i="2" s="1"/>
  <c r="G13" i="2" s="1"/>
  <c r="F21" i="3"/>
  <c r="C64" i="4"/>
  <c r="C67" i="4" s="1"/>
  <c r="B37" i="4"/>
  <c r="B84" i="4"/>
  <c r="F6" i="2"/>
  <c r="F13" i="3"/>
  <c r="E10" i="2"/>
  <c r="B7" i="5"/>
  <c r="B9" i="5" s="1"/>
  <c r="B15" i="5"/>
  <c r="G9" i="3"/>
  <c r="B36" i="2"/>
  <c r="G18" i="3"/>
  <c r="F14" i="2"/>
  <c r="E13" i="3"/>
  <c r="C54" i="4"/>
  <c r="G5" i="1" s="1"/>
  <c r="C62" i="4"/>
  <c r="C65" i="4" s="1"/>
  <c r="C55" i="4"/>
  <c r="G6" i="1" s="1"/>
  <c r="F7" i="2" l="1"/>
  <c r="G6" i="2"/>
  <c r="G7" i="2" s="1"/>
  <c r="G10" i="3"/>
  <c r="G13" i="3"/>
  <c r="F22" i="3"/>
  <c r="G21" i="3"/>
  <c r="G22" i="3" s="1"/>
  <c r="G12" i="2"/>
  <c r="B44" i="4"/>
  <c r="C92" i="4"/>
  <c r="B92" i="4"/>
  <c r="C37" i="4"/>
  <c r="B42" i="4"/>
  <c r="G11" i="1"/>
  <c r="A9" i="6"/>
  <c r="G10" i="2"/>
  <c r="E12" i="2"/>
  <c r="C10" i="5"/>
  <c r="C11" i="5" s="1"/>
  <c r="B10" i="5"/>
  <c r="B11" i="5" s="1"/>
  <c r="G12" i="1"/>
  <c r="A7" i="6"/>
  <c r="G13" i="1"/>
  <c r="F16" i="2"/>
  <c r="B6" i="5"/>
  <c r="G14" i="2"/>
  <c r="G20" i="3"/>
  <c r="C7" i="5"/>
  <c r="C9" i="5" s="1"/>
  <c r="C44" i="4" l="1"/>
  <c r="C47" i="4" s="1"/>
  <c r="B47" i="4"/>
  <c r="C42" i="4"/>
  <c r="B73" i="4"/>
  <c r="B76" i="4" s="1"/>
  <c r="C97" i="4"/>
  <c r="B97" i="4"/>
  <c r="B19" i="1"/>
  <c r="B21" i="5"/>
  <c r="G15" i="1" s="1"/>
  <c r="G16" i="2"/>
  <c r="C6" i="5"/>
  <c r="C21" i="5" l="1"/>
  <c r="C93" i="4"/>
  <c r="B93" i="4"/>
  <c r="B57" i="4"/>
  <c r="B58" i="4" s="1"/>
  <c r="B56" i="4"/>
  <c r="B23" i="4"/>
  <c r="B80" i="4" s="1"/>
  <c r="F6" i="6" s="1"/>
  <c r="C98" i="4"/>
  <c r="B98" i="4"/>
  <c r="C57" i="4"/>
  <c r="C56" i="4"/>
  <c r="G7" i="1" s="1"/>
  <c r="C12" i="5" l="1"/>
  <c r="C14" i="5" s="1"/>
  <c r="C16" i="5" s="1"/>
  <c r="C18" i="5" s="1"/>
  <c r="B12" i="5"/>
  <c r="B14" i="5" s="1"/>
  <c r="B16" i="5" s="1"/>
  <c r="B18" i="5" s="1"/>
  <c r="B83" i="4"/>
  <c r="B85" i="4" s="1"/>
  <c r="B81" i="4"/>
  <c r="B82" i="4" s="1"/>
  <c r="B87" i="4"/>
  <c r="E7" i="6"/>
  <c r="B7" i="6"/>
  <c r="C8" i="6"/>
  <c r="D8" i="6"/>
  <c r="B10" i="6"/>
  <c r="F8" i="6"/>
  <c r="D10" i="6"/>
  <c r="E9" i="6"/>
  <c r="F9" i="6"/>
  <c r="D7" i="6"/>
  <c r="C10" i="6"/>
  <c r="E6" i="6"/>
  <c r="B8" i="6"/>
  <c r="D9" i="6"/>
  <c r="C7" i="6"/>
  <c r="E8" i="6"/>
  <c r="B6" i="6"/>
  <c r="C6" i="6"/>
  <c r="F7" i="6"/>
  <c r="D6" i="6"/>
  <c r="E10" i="6"/>
  <c r="B96" i="4"/>
  <c r="C58" i="4"/>
  <c r="G9" i="1" s="1"/>
  <c r="G8" i="1"/>
  <c r="C96" i="4"/>
  <c r="B9" i="6"/>
  <c r="C9" i="6"/>
  <c r="F10" i="6"/>
  <c r="C94" i="4" l="1"/>
  <c r="B94" i="4"/>
  <c r="B99" i="4" s="1"/>
  <c r="G14" i="1"/>
  <c r="B22" i="5"/>
  <c r="B24" i="5" s="1"/>
  <c r="B28" i="5" s="1"/>
  <c r="G20" i="1" s="1"/>
  <c r="B19" i="5"/>
  <c r="B23" i="5" s="1"/>
  <c r="C22" i="5"/>
  <c r="C24" i="5" s="1"/>
  <c r="C28" i="5" s="1"/>
  <c r="C19" i="5"/>
  <c r="C23" i="5" s="1"/>
  <c r="C25" i="5" s="1"/>
  <c r="G18" i="1" s="1"/>
  <c r="B25" i="5" l="1"/>
  <c r="G17" i="1" s="1"/>
  <c r="G16" i="1"/>
</calcChain>
</file>

<file path=xl/sharedStrings.xml><?xml version="1.0" encoding="utf-8"?>
<sst xmlns="http://schemas.openxmlformats.org/spreadsheetml/2006/main" count="388" uniqueCount="347">
  <si>
    <t>ABB / Rotork M&amp;A Transaction Model</t>
  </si>
  <si>
    <t>As of 06-Sep-2026 | USD $m unless stated | Offer terms in GBP / pence</t>
  </si>
  <si>
    <t>Primary sources: ABB announcement (S01), Rotork Scheme Document (S02), latest deal status (S03) and transaction-date FX (S09).</t>
  </si>
  <si>
    <t>Transaction Overview</t>
  </si>
  <si>
    <t>Valuation &amp; Key Outputs</t>
  </si>
  <si>
    <t>Acquirer</t>
  </si>
  <si>
    <t>ABB Ltd</t>
  </si>
  <si>
    <t>Reported EV / Sales</t>
  </si>
  <si>
    <t>Target</t>
  </si>
  <si>
    <t>Rotork plc</t>
  </si>
  <si>
    <t>Reported EV / adj. EBITDA</t>
  </si>
  <si>
    <t>Announcement date</t>
  </si>
  <si>
    <t>Model EV / Sales</t>
  </si>
  <si>
    <t>Latest deal status</t>
  </si>
  <si>
    <t>Meetings approved 03-Sep-2026; Court sanction and remaining conditions outstanding</t>
  </si>
  <si>
    <t>Model EV / adj. EBITDA</t>
  </si>
  <si>
    <t>Expected completion</t>
  </si>
  <si>
    <t>H1 2027</t>
  </si>
  <si>
    <t>Pre-synergy EV / EBITDA</t>
  </si>
  <si>
    <t>Offer structure</t>
  </si>
  <si>
    <t>Recommended all-cash scheme</t>
  </si>
  <si>
    <t>Base "mid-teens" multiple</t>
  </si>
  <si>
    <t>Cash consideration</t>
  </si>
  <si>
    <t>High implied EBITDA synergy</t>
  </si>
  <si>
    <t>Permitted dividend</t>
  </si>
  <si>
    <t>Base implied EBITDA synergy</t>
  </si>
  <si>
    <t>Total potential shareholder value</t>
  </si>
  <si>
    <t>Low implied EBITDA synergy</t>
  </si>
  <si>
    <t>Unaffected share price</t>
  </si>
  <si>
    <t>Funding sources / uses status</t>
  </si>
  <si>
    <t>3-month VWAP</t>
  </si>
  <si>
    <t>Premium to unaffected</t>
  </si>
  <si>
    <t>Premium to 3-month VWAP</t>
  </si>
  <si>
    <t>Fully diluted shares</t>
  </si>
  <si>
    <t>Equity purchase price</t>
  </si>
  <si>
    <t>Implied enterprise value</t>
  </si>
  <si>
    <t>Breakeven EBITDA synergy</t>
  </si>
  <si>
    <t>GBP / USD FX (16-Jul-2026)</t>
  </si>
  <si>
    <t>Adviser(s)</t>
  </si>
  <si>
    <t>ABB: Barclays | Rotork: J.P. Morgan Cazenove, Rothschild &amp; Co, Jefferies, Morgan Stanley</t>
  </si>
  <si>
    <t>Strategic Rationale</t>
  </si>
  <si>
    <t>• Expands ABB's process automation portfolio into flow control and electric actuation.</t>
  </si>
  <si>
    <t>• Adds Rotork's installed base and aftermarket exposure across process industries.</t>
  </si>
  <si>
    <t>• Creates cross-selling opportunities through ABB's global automation and electrification channels.</t>
  </si>
  <si>
    <t>• Rotork is expected to operate as a separate division within ABB's Process Automation business.</t>
  </si>
  <si>
    <t>Key Risks</t>
  </si>
  <si>
    <t>Premium / valuation</t>
  </si>
  <si>
    <t>High entry valuation: 62.7% premium to 3-month VWAP and 19.5x EV / adjusted EBITDA.</t>
  </si>
  <si>
    <t>Synergy / integration</t>
  </si>
  <si>
    <t>Synergy range is inferred from ABB's 'mid-teens' post-synergy multiple rather than quantified guidance.</t>
  </si>
  <si>
    <t>Closing / financing</t>
  </si>
  <si>
    <t>Court / regulatory conditions remain outstanding; financing costs may affect completion economics.</t>
  </si>
  <si>
    <t>ABB Financial Profile</t>
  </si>
  <si>
    <t>USD $m except per-share data | FY24A-FY25A reported | H1 2026A actual | FY26E-FY28E estimates</t>
  </si>
  <si>
    <t>Sources: FY24A–FY25A = S07 | H1 2026A = S06 | FY26E–FY28E = model assumptions (S16). Full references in Sensitivity &amp; Sources.</t>
  </si>
  <si>
    <t>Operating &amp; Earnings Profile ($m except per share data)</t>
  </si>
  <si>
    <t>Metric</t>
  </si>
  <si>
    <t>FY24A</t>
  </si>
  <si>
    <t>FY25A</t>
  </si>
  <si>
    <t>H1 2026A</t>
  </si>
  <si>
    <t>FY26E</t>
  </si>
  <si>
    <t>FY27E</t>
  </si>
  <si>
    <t>FY28E</t>
  </si>
  <si>
    <t>Revenue</t>
  </si>
  <si>
    <t>Revenue growth</t>
  </si>
  <si>
    <t>–</t>
  </si>
  <si>
    <t>Income from operations</t>
  </si>
  <si>
    <t>Operational EBITA</t>
  </si>
  <si>
    <t>Operational EBITA margin</t>
  </si>
  <si>
    <t>Net finance income / (expense)</t>
  </si>
  <si>
    <t>Income tax expense</t>
  </si>
  <si>
    <t>Effective tax rate</t>
  </si>
  <si>
    <t>Net income attributable to ABB</t>
  </si>
  <si>
    <t>Diluted shares</t>
  </si>
  <si>
    <t>Diluted EPS</t>
  </si>
  <si>
    <t>Cash flow from operating activities</t>
  </si>
  <si>
    <t>Free cash flow</t>
  </si>
  <si>
    <t>Capital Structure ($m)</t>
  </si>
  <si>
    <t>Cash and equivalents</t>
  </si>
  <si>
    <t>Marketable securities / short-term investments</t>
  </si>
  <si>
    <t>Gross debt</t>
  </si>
  <si>
    <t>Net debt (incl. marketable securities)</t>
  </si>
  <si>
    <t>Net debt / Operational EBITA</t>
  </si>
  <si>
    <t>Forecast Assumptions &amp; Conventions</t>
  </si>
  <si>
    <t>Forecast basis</t>
  </si>
  <si>
    <t>FY26E annualized from H1 2026A; FY27E/FY28E use 5.0% growth</t>
  </si>
  <si>
    <t>Units</t>
  </si>
  <si>
    <t>$m except per-share data</t>
  </si>
  <si>
    <t>FY26E annualisation factor (x)</t>
  </si>
  <si>
    <t>FY27E net income / operating growth</t>
  </si>
  <si>
    <t>FY28E net income / operating growth</t>
  </si>
  <si>
    <t>Latest diluted shares (m)</t>
  </si>
  <si>
    <t>Pro forma tax rate</t>
  </si>
  <si>
    <t>Operational EBITA is ABB's reported alternative performance measure.</t>
  </si>
  <si>
    <t>FY26E annualises H1 2026A; FY27E-FY28E apply the stated growth assumptions.</t>
  </si>
  <si>
    <t>Source IDs above map to the full Source Log on Sensitivity &amp; Sources.</t>
  </si>
  <si>
    <t>Rotork Financial Profile</t>
  </si>
  <si>
    <t>GBP £m except per-share data | FY24A-FY25A reported | H1 2026A actual | FY26E-FY28E estimates</t>
  </si>
  <si>
    <t>Sources: FY24A–FY25A = S05 | H1 2026A = S04 | FY26E–FY28E = model assumptions (S16). Full references in Sensitivity &amp; Sources.</t>
  </si>
  <si>
    <t>Operating &amp; Earnings Profile (£m except per-share data)</t>
  </si>
  <si>
    <t>Reported operating profit</t>
  </si>
  <si>
    <t>Adjusted operating profit</t>
  </si>
  <si>
    <t>Adjusted operating margin</t>
  </si>
  <si>
    <t>Depreciation</t>
  </si>
  <si>
    <t>Acquired intangible amortisation</t>
  </si>
  <si>
    <t>Adjusted EBITDA proxy</t>
  </si>
  <si>
    <t>Reported profit before tax</t>
  </si>
  <si>
    <t>Net profit attributable to ordinary shareholders</t>
  </si>
  <si>
    <t>Adjusted net profit attributable</t>
  </si>
  <si>
    <t>Adjusted diluted EPS</t>
  </si>
  <si>
    <t>Balance Sheet &amp; Share Data (£m except shares)</t>
  </si>
  <si>
    <t>Cash and short-term deposits</t>
  </si>
  <si>
    <t>Interest-bearing loans &amp; borrowings</t>
  </si>
  <si>
    <t>Lease liabilities</t>
  </si>
  <si>
    <t>Net cash (ex leases)</t>
  </si>
  <si>
    <t>Net cash (incl leases)</t>
  </si>
  <si>
    <t>£m except per-share data</t>
  </si>
  <si>
    <t>FY27E growth assumption</t>
  </si>
  <si>
    <t>FY28E growth assumption</t>
  </si>
  <si>
    <t>Adjusted EBITDA proxy = adjusted operating profit + depreciation + acquired intangible amortisation.</t>
  </si>
  <si>
    <t>ABB / Rotork Transaction Mechanics &amp; Financing</t>
  </si>
  <si>
    <t>Offer terms in GBP / pence | Transaction values translated to USD at 16-Jul-2026 FX</t>
  </si>
  <si>
    <t>Sources: transaction terms and target balance sheet (S01–S04), ABB funding (S08), FX (S09) and model assumptions (S10–S17).</t>
  </si>
  <si>
    <t>Transaction Inputs</t>
  </si>
  <si>
    <t>Cash consideration (GBP / share)</t>
  </si>
  <si>
    <t>Permitted dividend (GBP / share)</t>
  </si>
  <si>
    <t>Unaffected share price (GBP / share)</t>
  </si>
  <si>
    <t>3-month VWAP (GBP / share)</t>
  </si>
  <si>
    <t>Fully diluted Rotork shares (m)</t>
  </si>
  <si>
    <t>Transaction fees ($m)</t>
  </si>
  <si>
    <t>Target cash acquired (£m, H1 2026)</t>
  </si>
  <si>
    <t>Target interest-bearing debt (£m, H1 2026)</t>
  </si>
  <si>
    <t>Target lease liabilities (£m, H1 2026)</t>
  </si>
  <si>
    <t>Target pension deficit (£m, H1 2026)</t>
  </si>
  <si>
    <t>Announcement net cash incl. leases (£m, 31-Mar-2026)</t>
  </si>
  <si>
    <t>Announcement pension deficit (£m, 31-Dec-2025)</t>
  </si>
  <si>
    <t>Financing Assumptions</t>
  </si>
  <si>
    <t>ABB Robotics disposal net cash proceeds ($m)</t>
  </si>
  <si>
    <t>ABB existing cash used ($m)</t>
  </si>
  <si>
    <t>Incremental debt / facilities ($m)</t>
  </si>
  <si>
    <t>Base borrowing rate</t>
  </si>
  <si>
    <t>Foregone cash yield</t>
  </si>
  <si>
    <t>Low “mid-teens” EV / EBITDA interpretation</t>
  </si>
  <si>
    <t>Base “mid-teens” EV / EBITDA interpretation</t>
  </si>
  <si>
    <t>High “mid-teens” EV / EBITDA interpretation</t>
  </si>
  <si>
    <t>Year 1 synergy realization</t>
  </si>
  <si>
    <t>Year 2 synergy realization</t>
  </si>
  <si>
    <t>Purchase Price Analysis (GBP / USD)</t>
  </si>
  <si>
    <t>Cash consideration per share</t>
  </si>
  <si>
    <t>Implied equity purchase price</t>
  </si>
  <si>
    <t>Add: debt assumed</t>
  </si>
  <si>
    <t>Less: cash acquired</t>
  </si>
  <si>
    <t>Add: lease liabilities</t>
  </si>
  <si>
    <t>Add: pension deficit</t>
  </si>
  <si>
    <t>Implied EV from latest H1 balance sheet</t>
  </si>
  <si>
    <t>Announcement EV bridge — equity purchase price</t>
  </si>
  <si>
    <t>Less: net cash incl. leases (31-Mar-2026)</t>
  </si>
  <si>
    <t>Add: pension deficit (31-Dec-2025)</t>
  </si>
  <si>
    <t>Model EV from announcement bridge</t>
  </si>
  <si>
    <t>Disclosed implied EV</t>
  </si>
  <si>
    <t>Transaction Multiples &amp; Implied Synergies (GBP / USD)</t>
  </si>
  <si>
    <t>Rotork 2025A revenue</t>
  </si>
  <si>
    <t>Rotork 2025A adjusted EBITDA proxy</t>
  </si>
  <si>
    <t>Low post-synergy EV / EBITDA (higher synergy)</t>
  </si>
  <si>
    <t>Base post-synergy EV / EBITDA</t>
  </si>
  <si>
    <t>High post-synergy EV / EBITDA (lower synergy)</t>
  </si>
  <si>
    <t>Implied EBITDA at low multiple</t>
  </si>
  <si>
    <t>Implied EBITDA at base multiple</t>
  </si>
  <si>
    <t>Implied EBITDA at high multiple</t>
  </si>
  <si>
    <t>High implied EBITDA synergy (14.0x case)</t>
  </si>
  <si>
    <t>Low implied EBITDA synergy (16.0x case)</t>
  </si>
  <si>
    <t>Base implied synergy ($m)</t>
  </si>
  <si>
    <t>Synergy methodology</t>
  </si>
  <si>
    <t>Implied synergy = EBITDA at assumed post-synergy multiple less standalone Rotork EBITDA.</t>
  </si>
  <si>
    <t>Funding Uses &amp; Sources ($m)</t>
  </si>
  <si>
    <t>Transaction fees</t>
  </si>
  <si>
    <t>Target debt refinancing</t>
  </si>
  <si>
    <t>Total uses</t>
  </si>
  <si>
    <t>Robotics disposal net cash proceeds</t>
  </si>
  <si>
    <t>ABB existing cash used</t>
  </si>
  <si>
    <t>Incremental debt / committed facilities</t>
  </si>
  <si>
    <t>Total sources</t>
  </si>
  <si>
    <t>Sources less uses</t>
  </si>
  <si>
    <t>Incremental interest expense (pre-tax)</t>
  </si>
  <si>
    <t>Foregone interest income (pre-tax)</t>
  </si>
  <si>
    <t>After-tax financing drag</t>
  </si>
  <si>
    <t>Bridge facility capacity ($m equivalent)</t>
  </si>
  <si>
    <t>Headroom vs. modeled debt</t>
  </si>
  <si>
    <t>Check</t>
  </si>
  <si>
    <t>Status</t>
  </si>
  <si>
    <t>Difference</t>
  </si>
  <si>
    <t>Notes</t>
  </si>
  <si>
    <t>Purchase price = offer × shares</t>
  </si>
  <si>
    <t>Offer price per share × fully diluted shares</t>
  </si>
  <si>
    <t>Announcement EV bridge</t>
  </si>
  <si>
    <t>Announcement bridge uses disclosed net cash and pension deficit</t>
  </si>
  <si>
    <t>Financing sources = uses</t>
  </si>
  <si>
    <t>Residual debt balances total sources and uses</t>
  </si>
  <si>
    <t>Synergy math</t>
  </si>
  <si>
    <t>15.0x implied EBITDA less standalone Rotork EBITDA</t>
  </si>
  <si>
    <t>EV / adj. EBITDA reconciliation</t>
  </si>
  <si>
    <t>Model EV / EBITDA compared with 19.5x disclosed multiple</t>
  </si>
  <si>
    <t>Currency conversion</t>
  </si>
  <si>
    <t>GBP values translated at transaction-date FX</t>
  </si>
  <si>
    <t>No double count of cash / debt</t>
  </si>
  <si>
    <t>Purchase-price bridge kept separate from financing uses</t>
  </si>
  <si>
    <t>Model status</t>
  </si>
  <si>
    <t>Checks validate model mechanics only</t>
  </si>
  <si>
    <t>ABB / Rotork Pro Forma EPS Accretion / (Dilution)</t>
  </si>
  <si>
    <t>Sources: linked ABB / Rotork forecasts, transaction financing assumptions and EPS bridge methodology (S04–S18).</t>
  </si>
  <si>
    <t>Pro Forma EPS Bridge</t>
  </si>
  <si>
    <t>ABB standalone net income</t>
  </si>
  <si>
    <t>Rotork standalone net income (£m)</t>
  </si>
  <si>
    <t>GBP / USD FX</t>
  </si>
  <si>
    <t>Rotork standalone net income ($m)</t>
  </si>
  <si>
    <t>EBITDA synergies realized</t>
  </si>
  <si>
    <t>After-tax EBITDA synergies</t>
  </si>
  <si>
    <t>Incremental debt / facilities</t>
  </si>
  <si>
    <t>Borrowing rate</t>
  </si>
  <si>
    <t>Incremental interest expense</t>
  </si>
  <si>
    <t>Foregone cash interest</t>
  </si>
  <si>
    <t>Other recurring adjustments</t>
  </si>
  <si>
    <t>Pro forma net income before synergies</t>
  </si>
  <si>
    <t>Pro forma net income after synergies</t>
  </si>
  <si>
    <t>ABB diluted shares (m)</t>
  </si>
  <si>
    <t>Standalone ABB EPS</t>
  </si>
  <si>
    <t>Pro forma EPS before synergies</t>
  </si>
  <si>
    <t>Pro forma EPS after synergies</t>
  </si>
  <si>
    <t>EPS accretion / (dilution) before synergies</t>
  </si>
  <si>
    <t>EPS accretion / (dilution) after synergies</t>
  </si>
  <si>
    <t>Company indicated accretion timing</t>
  </si>
  <si>
    <t>Breakeven EBITDA synergy ($m)</t>
  </si>
  <si>
    <t>Key Assumptions</t>
  </si>
  <si>
    <t>EPS basis</t>
  </si>
  <si>
    <t>Reported net income and diluted shares.</t>
  </si>
  <si>
    <t>Synergy timing</t>
  </si>
  <si>
    <t>0% in FY27E; 100% in FY28E.</t>
  </si>
  <si>
    <t>Funding</t>
  </si>
  <si>
    <t>Robotics proceeds and $500m ABB cash used before incremental debt.</t>
  </si>
  <si>
    <t>Purchase accounting</t>
  </si>
  <si>
    <t>No PPA amortisation, integration costs or dividend adjustments.</t>
  </si>
  <si>
    <t>Sources</t>
  </si>
  <si>
    <t>See Sensitivity &amp; Sources.</t>
  </si>
  <si>
    <t>ABB / Rotork Sensitivity &amp; Sources</t>
  </si>
  <si>
    <t>FY28E EPS accretion sensitivity to EBITDA synergies and incremental borrowing cost</t>
  </si>
  <si>
    <t>EPS Accretion Sensitivity — FY28E</t>
  </si>
  <si>
    <t>Synergy ($m) / Borrowing rate</t>
  </si>
  <si>
    <t>Base case</t>
  </si>
  <si>
    <t>Sensitivity Notes</t>
  </si>
  <si>
    <t>Case range</t>
  </si>
  <si>
    <t>0 / low / base / high / $130m synergy cases; base case uses the 15.0x post-synergy multiple.</t>
  </si>
  <si>
    <t>Financing</t>
  </si>
  <si>
    <t>Borrowing rate applies to incremental debt; foregone cash yield remains 3.5% on ABB cash used.</t>
  </si>
  <si>
    <t>Limitations</t>
  </si>
  <si>
    <t>Excludes purchase accounting, integration costs, dividend effects and changes in diluted share count.</t>
  </si>
  <si>
    <t>Source Log</t>
  </si>
  <si>
    <t>ID</t>
  </si>
  <si>
    <t>Source / date</t>
  </si>
  <si>
    <t>Data used</t>
  </si>
  <si>
    <t>URL / reference</t>
  </si>
  <si>
    <t>S01</t>
  </si>
  <si>
    <t>ABB acquisition announcement — 16-Jul-2026</t>
  </si>
  <si>
    <t>Offer 503p cash; up to 3p permitted dividend; EV, EV/Sales, EV/EBITDA; synergy language; structure.</t>
  </si>
  <si>
    <t>https://new.abb.com/news/detail/137499/abb-expands-automation-offering-with-acquisition-of-rotork</t>
  </si>
  <si>
    <t>S02</t>
  </si>
  <si>
    <t>Rotork Scheme Document — 2026</t>
  </si>
  <si>
    <t>Unaffected price, VWAPs, premiums, fully diluted shares, equity value, EV bridge, financing provisions.</t>
  </si>
  <si>
    <t>https://media.rotork.com/api/public/content/a.schemedocument-pdf-ylvrj3qtrymhbohjegna.pdf?v=a93e0be4</t>
  </si>
  <si>
    <t>S03</t>
  </si>
  <si>
    <t>Rotork Results of Meetings — 03-Sep-2026</t>
  </si>
  <si>
    <t>Court and shareholder approvals; remaining Court / regulatory conditions; H1 2027 expected effective date; 16-Jul-2027 long-stop.</t>
  </si>
  <si>
    <t>https://media.rotork.com/api/public/content/f.resultsofshareholderandcourtmeetings-downloadoriginal-ohnc7wx5rkaxb6iemvsb.pdf?v=41ec5c96</t>
  </si>
  <si>
    <t>S04</t>
  </si>
  <si>
    <t>Rotork H1 2026 results — 30-Jun-2026</t>
  </si>
  <si>
    <t>H1 revenue, adjusted operating profit, profit, EPS, cash, debt, leases, tax and diluted shares.</t>
  </si>
  <si>
    <t>https://media.rotork.com/api/public/content/pub082-420-halfyearresultspressrelease2026-pdf-yuq9oivmtso6wjckhxrt.pdf?v=0b70320b</t>
  </si>
  <si>
    <t>S05</t>
  </si>
  <si>
    <t>Rotork FY2025 press release — 2026</t>
  </si>
  <si>
    <t>FY25 / FY24 revenue, operating profit, EBITDA bridge inputs, net income, EPS and cash / debt.</t>
  </si>
  <si>
    <t>https://media.rotork.com/api/public/content/rotorkfy2025pressrelease-downloadoriginal-nmcispv8svefnc2ppzej.pdf?v=14606f38</t>
  </si>
  <si>
    <t>S06</t>
  </si>
  <si>
    <t>ABB Q2 2026 results — 23-Jul-2026</t>
  </si>
  <si>
    <t>H1 2026 revenue, EBITA, income from operations, net income, EPS, cash, securities and debt.</t>
  </si>
  <si>
    <t>https://www.abb.com/global/en/news/137496/q2-2026-results</t>
  </si>
  <si>
    <t>S07</t>
  </si>
  <si>
    <t>ABB Financial Report 2025</t>
  </si>
  <si>
    <t>FY25 / FY24 revenue, income from operations, EBITA, net income, EPS, cash, securities and debt.</t>
  </si>
  <si>
    <t>https://library.e.abb.com/public/b32991481e8b4418a5c5261c5ff25440/ABB%20Financial%20Report%202025.pdf</t>
  </si>
  <si>
    <t>S08</t>
  </si>
  <si>
    <t>ABB Q2 2026 results — Robotics disposal</t>
  </si>
  <si>
    <t>Expected net cash proceeds of approximately $4.8bn used as a funding source assumption.</t>
  </si>
  <si>
    <t>S09</t>
  </si>
  <si>
    <t>GBP / USD spot — 16-Jul-2026</t>
  </si>
  <si>
    <t>Transaction-date FX rate of 1.34757 USD per GBP for converted transaction values.</t>
  </si>
  <si>
    <t>https://www.exchange-rates.org/exchange-rate-history/gbp-usd-2026-07-16</t>
  </si>
  <si>
    <t>S10</t>
  </si>
  <si>
    <t>Transaction fees — analyst assumption</t>
  </si>
  <si>
    <t>Modeled $25m fees; editable in Transaction &amp; Financing!B11.</t>
  </si>
  <si>
    <t>Analyst assumption; no external source.</t>
  </si>
  <si>
    <t>S11</t>
  </si>
  <si>
    <t>ABB cash used — analyst assumption</t>
  </si>
  <si>
    <t>Modeled $500m ABB cash contribution; editable in Transaction &amp; Financing!B22.</t>
  </si>
  <si>
    <t>S12</t>
  </si>
  <si>
    <t>Borrowing rate — analyst assumption</t>
  </si>
  <si>
    <t>Base borrowing rate 4.5%; editable in Transaction &amp; Financing!B24.</t>
  </si>
  <si>
    <t>Analyst assumption; SONIA-linked bridge disclosed in S02.</t>
  </si>
  <si>
    <t>S13</t>
  </si>
  <si>
    <t>Foregone cash yield — analyst assumption</t>
  </si>
  <si>
    <t>Base yield 3.5% on ABB cash used; editable in Transaction &amp; Financing!B25.</t>
  </si>
  <si>
    <t>Analyst assumption.</t>
  </si>
  <si>
    <t>S14</t>
  </si>
  <si>
    <t>“Mid-teens” multiple — analyst interpretation</t>
  </si>
  <si>
    <t>Low / base / high 14.0x / 15.0x / 16.0x to reverse-engineer synergy range.</t>
  </si>
  <si>
    <t>Analyst interpretation of ABB language in S01 / S02.</t>
  </si>
  <si>
    <t>S15</t>
  </si>
  <si>
    <t>Synergy realization — analyst assumption</t>
  </si>
  <si>
    <t>0% in FY27E and 100% in FY28E of base implied EBITDA synergy.</t>
  </si>
  <si>
    <t>Analyst assumption; ABB did not quantify synergies in the cited announcement.</t>
  </si>
  <si>
    <t>S16</t>
  </si>
  <si>
    <t>Forecast growth - analyst assumption</t>
  </si>
  <si>
    <t>5.0% FY27E and FY28E growth for ABB and Rotork forecasts.</t>
  </si>
  <si>
    <t>Analyst assumption; not company guidance.</t>
  </si>
  <si>
    <t>S17</t>
  </si>
  <si>
    <t>Target debt refinancing — model convention</t>
  </si>
  <si>
    <t>H1 2026 interest-bearing debt is included in purchase-price uses and excluded from pro forma debt because it is refinanced.</t>
  </si>
  <si>
    <t>Model convention; balance-sheet data from S04.</t>
  </si>
  <si>
    <t>S18</t>
  </si>
  <si>
    <t>EPS bridge basis</t>
  </si>
  <si>
    <t>Reported net income / diluted shares bridge; after-tax synergies and financing drag at ABB H1 2026 effective tax rate.</t>
  </si>
  <si>
    <t>Internal model calculation.</t>
  </si>
  <si>
    <t>S19</t>
  </si>
  <si>
    <t>Sensitivity basis</t>
  </si>
  <si>
    <t>FY28E accretion varies synergy dollars and borrowing rate while holding other base assumptions constant.</t>
  </si>
  <si>
    <t>S20</t>
  </si>
  <si>
    <t>Model date</t>
  </si>
  <si>
    <t>As-of date is 06-Sep-2026; meetings approved 03-Sep-2026 and remaining conditions are outstanding.</t>
  </si>
  <si>
    <t>S03.</t>
  </si>
  <si>
    <t>Standalone ABB EPS — FY27E PF / run-rate</t>
  </si>
  <si>
    <t>Pro forma ABB EPS — FY27E PF / run-rate</t>
  </si>
  <si>
    <t>FY27E PF EPS accretion / (dilution)</t>
  </si>
  <si>
    <t>FY28E EPS accretion / (dilution)</t>
  </si>
  <si>
    <t>Model accretion basis</t>
  </si>
  <si>
    <t>£4.2bn disclosed bridge facility capacity translated at transaction FX (S02).</t>
  </si>
  <si>
    <t>USD $m except per-share data | FY27E shown on full-year pro forma / run-rate basis | FY28E first full post-close year</t>
  </si>
  <si>
    <t>FY27E PF / run-rate</t>
  </si>
  <si>
    <t>FY27E full-year PF / run-rate</t>
  </si>
  <si>
    <t>FY28E full-year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</si>
</sst>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dd\-mmm\-yyyy"/>
    <numFmt numFmtId="165" formatCode="0.0&quot;p&quot;;[Red]\(0.0&quot;p&quot;\);\-"/>
    <numFmt numFmtId="166" formatCode="0.0%;[Red]\(0.0%\);\-"/>
    <numFmt numFmtId="167" formatCode="#,##0.000;[Red]\(#,##0.000\);\-"/>
    <numFmt numFmtId="168" formatCode="\$#,##0;[Red]\(\$#,##0\);\-"/>
    <numFmt numFmtId="169" formatCode="0.0000"/>
    <numFmt numFmtId="170" formatCode="0.0\x;[Red]\(0.0\x\);\-"/>
    <numFmt numFmtId="171" formatCode="\$0.00;[Red]\(\$0.00\);\-"/>
    <numFmt numFmtId="172" formatCode="#,##0.0;[Red]\(#,##0.0\);\-"/>
    <numFmt numFmtId="173" formatCode="0.0\x"/>
    <numFmt numFmtId="174" formatCode="0.00;[Red]\(0.00\);\-"/>
    <numFmt numFmtId="175" formatCode="\$#,##0.0;[Red]\(\$#,##0.0\);\-"/>
  </numFmts>
  <fonts count="22">
    <font>
      <sz val="11"/>
      <name val="Carlito"/>
    </font>
    <font>
      <b/>
      <sz val="15"/>
      <color rgb="FFFFFFFF"/>
      <name val="Carlito"/>
    </font>
    <font>
      <i/>
      <sz val="9"/>
      <color rgb="FF666666"/>
      <name val="Carlito"/>
    </font>
    <font>
      <b/>
      <sz val="10"/>
      <color rgb="FFFFFFFF"/>
      <name val="Carlito"/>
    </font>
    <font>
      <sz val="11"/>
      <color rgb="FF000000"/>
      <name val="Carlito"/>
    </font>
    <font>
      <sz val="11"/>
      <color rgb="FF0000FF"/>
      <name val="Carlito"/>
    </font>
    <font>
      <sz val="11"/>
      <color rgb="FF008000"/>
      <name val="Carlito"/>
    </font>
    <font>
      <b/>
      <sz val="11"/>
      <color rgb="FF000000"/>
      <name val="Carlito"/>
    </font>
    <font>
      <b/>
      <sz val="11"/>
      <color rgb="FF666666"/>
      <name val="Carlito"/>
    </font>
    <font>
      <b/>
      <sz val="11"/>
      <color rgb="FF0000FF"/>
      <name val="Carlito"/>
    </font>
    <font>
      <sz val="10"/>
      <color rgb="FF000000"/>
      <name val="Arial"/>
      <family val="2"/>
    </font>
    <font>
      <i/>
      <sz val="10"/>
      <color rgb="FF666666"/>
      <name val="Carlito"/>
    </font>
    <font>
      <i/>
      <sz val="9"/>
      <color rgb="FF666666"/>
      <name val="Arial"/>
      <family val="2"/>
    </font>
    <font>
      <sz val="10"/>
      <color rgb="FF000000"/>
      <name val="Carlito"/>
    </font>
    <font>
      <sz val="10"/>
      <color rgb="FF0000FF"/>
      <name val="Carlito"/>
    </font>
    <font>
      <sz val="10"/>
      <color rgb="FF008000"/>
      <name val="Carlito"/>
    </font>
    <font>
      <b/>
      <sz val="10"/>
      <color rgb="FF008000"/>
      <name val="Carlito"/>
    </font>
    <font>
      <b/>
      <sz val="10"/>
      <color rgb="FF000000"/>
      <name val="Carlito"/>
    </font>
    <font>
      <b/>
      <sz val="11"/>
      <name val="Carlito"/>
    </font>
    <font>
      <sz val="10"/>
      <color rgb="FF000000"/>
      <name val="Carlito"/>
    </font>
    <font>
      <sz val="9"/>
      <color rgb="FF000000"/>
      <name val="Carlito"/>
    </font>
    <font>
      <sz val="9"/>
      <color theme="1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2F3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EAF2F8"/>
      </patternFill>
    </fill>
    <fill>
      <patternFill patternType="solid">
        <fgColor rgb="FF17365D"/>
      </patternFill>
    </fill>
    <fill>
      <patternFill patternType="solid">
        <fgColor rgb="FFD9E2F3"/>
      </patternFill>
    </fill>
    <fill>
      <patternFill patternType="solid">
        <fgColor rgb="FFF2F2F2"/>
      </patternFill>
    </fill>
    <fill>
      <patternFill patternType="solid">
        <fgColor rgb="FFDDEBF7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 style="thin">
        <color rgb="FF7F7F7F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4" fillId="0" borderId="0" xfId="0" applyFont="1" applyAlignment="1">
      <alignment horizontal="left" vertical="center"/>
    </xf>
    <xf numFmtId="165" fontId="5" fillId="0" borderId="0" xfId="0" applyNumberFormat="1" applyFont="1" applyAlignment="1">
      <alignment horizontal="right" vertical="center"/>
    </xf>
    <xf numFmtId="165" fontId="4" fillId="0" borderId="0" xfId="0" applyNumberFormat="1" applyFont="1" applyAlignment="1">
      <alignment horizontal="right" vertical="center"/>
    </xf>
    <xf numFmtId="166" fontId="4" fillId="0" borderId="0" xfId="0" applyNumberFormat="1" applyFont="1" applyAlignment="1">
      <alignment horizontal="right" vertical="center"/>
    </xf>
    <xf numFmtId="168" fontId="6" fillId="0" borderId="0" xfId="0" applyNumberFormat="1" applyFont="1" applyAlignment="1">
      <alignment horizontal="right" vertical="center"/>
    </xf>
    <xf numFmtId="169" fontId="6" fillId="0" borderId="0" xfId="0" applyNumberFormat="1" applyFont="1" applyAlignment="1">
      <alignment horizontal="right" vertical="center"/>
    </xf>
    <xf numFmtId="166" fontId="6" fillId="0" borderId="0" xfId="0" applyNumberFormat="1" applyFont="1" applyAlignment="1">
      <alignment horizontal="right" vertical="center"/>
    </xf>
    <xf numFmtId="168" fontId="5" fillId="0" borderId="0" xfId="0" applyNumberFormat="1" applyFont="1" applyAlignment="1">
      <alignment horizontal="right" vertical="center"/>
    </xf>
    <xf numFmtId="172" fontId="5" fillId="0" borderId="0" xfId="0" applyNumberFormat="1" applyFont="1" applyAlignment="1">
      <alignment horizontal="right" vertical="center"/>
    </xf>
    <xf numFmtId="168" fontId="4" fillId="0" borderId="0" xfId="0" applyNumberFormat="1" applyFont="1" applyAlignment="1">
      <alignment horizontal="right" vertical="center"/>
    </xf>
    <xf numFmtId="172" fontId="4" fillId="0" borderId="0" xfId="0" applyNumberFormat="1" applyFont="1" applyAlignment="1">
      <alignment horizontal="right" vertical="center"/>
    </xf>
    <xf numFmtId="170" fontId="4" fillId="0" borderId="0" xfId="0" applyNumberFormat="1" applyFont="1" applyAlignment="1">
      <alignment horizontal="right" vertical="center"/>
    </xf>
    <xf numFmtId="166" fontId="5" fillId="4" borderId="0" xfId="0" applyNumberFormat="1" applyFont="1" applyFill="1" applyAlignment="1">
      <alignment horizontal="right" vertical="center"/>
    </xf>
    <xf numFmtId="172" fontId="6" fillId="0" borderId="0" xfId="0" applyNumberFormat="1" applyFont="1" applyAlignment="1">
      <alignment horizontal="right" vertical="center"/>
    </xf>
    <xf numFmtId="168" fontId="7" fillId="0" borderId="0" xfId="0" applyNumberFormat="1" applyFont="1" applyAlignment="1">
      <alignment horizontal="right" vertical="center"/>
    </xf>
    <xf numFmtId="168" fontId="7" fillId="0" borderId="1" xfId="0" applyNumberFormat="1" applyFont="1" applyBorder="1" applyAlignment="1">
      <alignment horizontal="right" vertical="center"/>
    </xf>
    <xf numFmtId="172" fontId="7" fillId="0" borderId="0" xfId="0" applyNumberFormat="1" applyFont="1" applyAlignment="1">
      <alignment horizontal="right" vertical="center"/>
    </xf>
    <xf numFmtId="171" fontId="7" fillId="0" borderId="0" xfId="0" applyNumberFormat="1" applyFont="1" applyAlignment="1">
      <alignment horizontal="right" vertical="center"/>
    </xf>
    <xf numFmtId="172" fontId="7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5" fontId="7" fillId="0" borderId="0" xfId="0" applyNumberFormat="1" applyFont="1" applyAlignment="1">
      <alignment horizontal="right" vertical="center"/>
    </xf>
    <xf numFmtId="174" fontId="5" fillId="0" borderId="0" xfId="0" applyNumberFormat="1" applyFont="1" applyAlignment="1">
      <alignment horizontal="right" vertical="center"/>
    </xf>
    <xf numFmtId="167" fontId="5" fillId="0" borderId="0" xfId="0" applyNumberFormat="1" applyFont="1" applyAlignment="1">
      <alignment horizontal="right" vertical="center"/>
    </xf>
    <xf numFmtId="169" fontId="5" fillId="0" borderId="0" xfId="0" applyNumberFormat="1" applyFont="1" applyAlignment="1">
      <alignment horizontal="right" vertical="center"/>
    </xf>
    <xf numFmtId="170" fontId="5" fillId="4" borderId="0" xfId="0" applyNumberFormat="1" applyFont="1" applyFill="1" applyAlignment="1">
      <alignment horizontal="right" vertical="center"/>
    </xf>
    <xf numFmtId="175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168" fontId="5" fillId="4" borderId="0" xfId="0" applyNumberFormat="1" applyFont="1" applyFill="1" applyAlignment="1">
      <alignment horizontal="right" vertical="center"/>
    </xf>
    <xf numFmtId="174" fontId="4" fillId="6" borderId="0" xfId="0" applyNumberFormat="1" applyFont="1" applyFill="1" applyAlignment="1">
      <alignment horizontal="right" vertical="center"/>
    </xf>
    <xf numFmtId="175" fontId="4" fillId="6" borderId="0" xfId="0" applyNumberFormat="1" applyFont="1" applyFill="1" applyAlignment="1">
      <alignment horizontal="right" vertical="center"/>
    </xf>
    <xf numFmtId="167" fontId="4" fillId="6" borderId="0" xfId="0" applyNumberFormat="1" applyFont="1" applyFill="1" applyAlignment="1">
      <alignment horizontal="right" vertical="center"/>
    </xf>
    <xf numFmtId="172" fontId="4" fillId="6" borderId="0" xfId="0" applyNumberFormat="1" applyFont="1" applyFill="1" applyAlignment="1">
      <alignment horizontal="right" vertical="center"/>
    </xf>
    <xf numFmtId="168" fontId="4" fillId="6" borderId="0" xfId="0" applyNumberFormat="1" applyFont="1" applyFill="1" applyAlignment="1">
      <alignment horizontal="right" vertical="center"/>
    </xf>
    <xf numFmtId="170" fontId="4" fillId="4" borderId="0" xfId="0" applyNumberFormat="1" applyFont="1" applyFill="1" applyAlignment="1">
      <alignment horizontal="right" vertical="center"/>
    </xf>
    <xf numFmtId="172" fontId="4" fillId="4" borderId="0" xfId="0" applyNumberFormat="1" applyFont="1" applyFill="1" applyAlignment="1">
      <alignment horizontal="right" vertical="center"/>
    </xf>
    <xf numFmtId="168" fontId="4" fillId="4" borderId="0" xfId="0" applyNumberFormat="1" applyFont="1" applyFill="1" applyAlignment="1">
      <alignment horizontal="right" vertical="center"/>
    </xf>
    <xf numFmtId="172" fontId="7" fillId="6" borderId="0" xfId="0" applyNumberFormat="1" applyFont="1" applyFill="1" applyAlignment="1">
      <alignment horizontal="right" vertical="center"/>
    </xf>
    <xf numFmtId="168" fontId="7" fillId="6" borderId="0" xfId="0" applyNumberFormat="1" applyFont="1" applyFill="1" applyAlignment="1">
      <alignment horizontal="right" vertical="center"/>
    </xf>
    <xf numFmtId="172" fontId="7" fillId="6" borderId="1" xfId="0" applyNumberFormat="1" applyFont="1" applyFill="1" applyBorder="1" applyAlignment="1">
      <alignment horizontal="right" vertical="center"/>
    </xf>
    <xf numFmtId="168" fontId="7" fillId="6" borderId="1" xfId="0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left" vertical="center" wrapText="1"/>
    </xf>
    <xf numFmtId="166" fontId="7" fillId="5" borderId="0" xfId="0" applyNumberFormat="1" applyFont="1" applyFill="1" applyAlignment="1">
      <alignment horizontal="right" vertical="center"/>
    </xf>
    <xf numFmtId="171" fontId="7" fillId="0" borderId="1" xfId="0" applyNumberFormat="1" applyFont="1" applyBorder="1" applyAlignment="1">
      <alignment horizontal="right" vertical="center"/>
    </xf>
    <xf numFmtId="166" fontId="7" fillId="5" borderId="1" xfId="0" applyNumberFormat="1" applyFont="1" applyFill="1" applyBorder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8" fontId="0" fillId="0" borderId="0" xfId="0" applyNumberFormat="1" applyAlignment="1">
      <alignment horizontal="right" vertical="center"/>
    </xf>
    <xf numFmtId="170" fontId="0" fillId="0" borderId="0" xfId="0" applyNumberFormat="1" applyAlignment="1">
      <alignment horizontal="right" vertical="center"/>
    </xf>
    <xf numFmtId="172" fontId="0" fillId="0" borderId="0" xfId="0" applyNumberFormat="1" applyAlignment="1">
      <alignment horizontal="right" vertical="center"/>
    </xf>
    <xf numFmtId="166" fontId="10" fillId="0" borderId="0" xfId="0" applyNumberFormat="1" applyFont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13" fillId="0" borderId="0" xfId="0" applyFont="1" applyAlignment="1">
      <alignment horizontal="left" vertical="center"/>
    </xf>
    <xf numFmtId="168" fontId="15" fillId="0" borderId="0" xfId="0" applyNumberFormat="1" applyFont="1" applyAlignment="1">
      <alignment horizontal="right" vertical="center"/>
    </xf>
    <xf numFmtId="170" fontId="15" fillId="0" borderId="0" xfId="0" applyNumberFormat="1" applyFont="1" applyAlignment="1">
      <alignment horizontal="right" vertical="center"/>
    </xf>
    <xf numFmtId="170" fontId="16" fillId="4" borderId="0" xfId="0" applyNumberFormat="1" applyFont="1" applyFill="1" applyAlignment="1">
      <alignment horizontal="right" vertical="center"/>
    </xf>
    <xf numFmtId="168" fontId="16" fillId="4" borderId="0" xfId="0" applyNumberFormat="1" applyFont="1" applyFill="1" applyAlignment="1">
      <alignment horizontal="right" vertical="center"/>
    </xf>
    <xf numFmtId="0" fontId="15" fillId="0" borderId="0" xfId="0" applyFont="1" applyAlignment="1">
      <alignment horizontal="right" vertical="center"/>
    </xf>
    <xf numFmtId="171" fontId="15" fillId="0" borderId="0" xfId="0" applyNumberFormat="1" applyFont="1" applyAlignment="1">
      <alignment horizontal="right" vertical="center"/>
    </xf>
    <xf numFmtId="166" fontId="16" fillId="5" borderId="0" xfId="0" applyNumberFormat="1" applyFont="1" applyFill="1" applyAlignment="1">
      <alignment horizontal="right" vertical="center"/>
    </xf>
    <xf numFmtId="0" fontId="14" fillId="0" borderId="0" xfId="0" applyFont="1" applyAlignment="1">
      <alignment horizontal="left" vertical="center" wrapText="1"/>
    </xf>
    <xf numFmtId="0" fontId="7" fillId="8" borderId="0" xfId="0" applyFont="1" applyFill="1" applyAlignment="1">
      <alignment horizontal="left" vertical="center"/>
    </xf>
    <xf numFmtId="0" fontId="8" fillId="9" borderId="0" xfId="0" applyFont="1" applyFill="1" applyAlignment="1">
      <alignment horizontal="right" vertical="center"/>
    </xf>
    <xf numFmtId="0" fontId="8" fillId="10" borderId="0" xfId="0" applyFont="1" applyFill="1" applyAlignment="1">
      <alignment horizontal="right" vertical="center"/>
    </xf>
    <xf numFmtId="0" fontId="7" fillId="8" borderId="0" xfId="0" applyFont="1" applyFill="1" applyAlignment="1">
      <alignment horizontal="right" vertical="center"/>
    </xf>
    <xf numFmtId="0" fontId="4" fillId="0" borderId="0" xfId="0" applyFont="1" applyAlignment="1">
      <alignment horizontal="center" vertical="center" wrapText="1"/>
    </xf>
    <xf numFmtId="0" fontId="18" fillId="8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0" fillId="11" borderId="0" xfId="0" applyFont="1" applyFill="1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0" fontId="13" fillId="0" borderId="2" xfId="0" applyFont="1" applyBorder="1" applyAlignment="1">
      <alignment horizontal="left" vertical="center"/>
    </xf>
    <xf numFmtId="0" fontId="21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/>
    </xf>
    <xf numFmtId="164" fontId="14" fillId="0" borderId="0" xfId="0" applyNumberFormat="1" applyFont="1" applyAlignment="1">
      <alignment horizontal="left" vertical="center" wrapText="1"/>
    </xf>
    <xf numFmtId="165" fontId="14" fillId="0" borderId="0" xfId="0" applyNumberFormat="1" applyFont="1" applyAlignment="1">
      <alignment horizontal="left" vertical="center" wrapText="1"/>
    </xf>
    <xf numFmtId="165" fontId="13" fillId="0" borderId="0" xfId="0" applyNumberFormat="1" applyFont="1" applyAlignment="1">
      <alignment horizontal="left" vertical="center" wrapText="1"/>
    </xf>
    <xf numFmtId="166" fontId="13" fillId="0" borderId="0" xfId="0" applyNumberFormat="1" applyFont="1" applyAlignment="1">
      <alignment horizontal="left" vertical="center" wrapText="1"/>
    </xf>
    <xf numFmtId="167" fontId="15" fillId="0" borderId="0" xfId="0" applyNumberFormat="1" applyFont="1" applyAlignment="1">
      <alignment horizontal="left" vertical="center" wrapText="1"/>
    </xf>
    <xf numFmtId="168" fontId="15" fillId="0" borderId="0" xfId="0" applyNumberFormat="1" applyFont="1" applyAlignment="1">
      <alignment horizontal="left" vertical="center" wrapText="1"/>
    </xf>
    <xf numFmtId="169" fontId="15" fillId="0" borderId="0" xfId="0" applyNumberFormat="1" applyFont="1" applyAlignment="1">
      <alignment horizontal="left" vertical="center" wrapText="1"/>
    </xf>
    <xf numFmtId="173" fontId="5" fillId="4" borderId="0" xfId="0" applyNumberFormat="1" applyFont="1" applyFill="1" applyAlignment="1">
      <alignment horizontal="right" vertical="center" wrapText="1"/>
    </xf>
    <xf numFmtId="166" fontId="5" fillId="4" borderId="0" xfId="0" applyNumberFormat="1" applyFont="1" applyFill="1" applyAlignment="1">
      <alignment horizontal="right" vertical="center" wrapText="1"/>
    </xf>
    <xf numFmtId="172" fontId="6" fillId="0" borderId="0" xfId="0" applyNumberFormat="1" applyFont="1" applyAlignment="1">
      <alignment horizontal="right" vertical="center" wrapText="1"/>
    </xf>
    <xf numFmtId="166" fontId="6" fillId="0" borderId="0" xfId="0" applyNumberFormat="1" applyFont="1" applyAlignment="1">
      <alignment horizontal="right" vertical="center" wrapText="1"/>
    </xf>
    <xf numFmtId="0" fontId="7" fillId="3" borderId="0" xfId="0" applyFont="1" applyFill="1" applyAlignment="1">
      <alignment horizontal="left" vertical="center"/>
    </xf>
    <xf numFmtId="0" fontId="4" fillId="11" borderId="0" xfId="0" applyFont="1" applyFill="1" applyAlignment="1">
      <alignment horizontal="left" vertical="center"/>
    </xf>
    <xf numFmtId="0" fontId="7" fillId="3" borderId="0" xfId="0" applyFont="1" applyFill="1" applyAlignment="1">
      <alignment horizontal="right" vertical="center"/>
    </xf>
    <xf numFmtId="0" fontId="4" fillId="11" borderId="0" xfId="0" applyFont="1" applyFill="1" applyAlignment="1">
      <alignment horizontal="right" vertical="center"/>
    </xf>
    <xf numFmtId="175" fontId="4" fillId="11" borderId="0" xfId="0" applyNumberFormat="1" applyFont="1" applyFill="1" applyAlignment="1">
      <alignment horizontal="right" vertical="center"/>
    </xf>
    <xf numFmtId="0" fontId="7" fillId="3" borderId="0" xfId="0" applyFont="1" applyFill="1" applyAlignment="1">
      <alignment horizontal="left" vertical="center" wrapText="1"/>
    </xf>
    <xf numFmtId="168" fontId="4" fillId="0" borderId="0" xfId="0" applyNumberFormat="1" applyFont="1" applyAlignment="1">
      <alignment horizontal="left" vertical="center" wrapText="1"/>
    </xf>
    <xf numFmtId="166" fontId="9" fillId="3" borderId="0" xfId="0" applyNumberFormat="1" applyFont="1" applyFill="1" applyAlignment="1">
      <alignment horizontal="right" vertical="center"/>
    </xf>
    <xf numFmtId="0" fontId="7" fillId="3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0" fillId="0" borderId="0" xfId="0"/>
    <xf numFmtId="0" fontId="1" fillId="7" borderId="0" xfId="0" applyFont="1" applyFill="1" applyAlignment="1">
      <alignment horizontal="left" vertical="center"/>
    </xf>
    <xf numFmtId="0" fontId="11" fillId="8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3" fillId="7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right" vertical="center" wrapText="1"/>
    </xf>
    <xf numFmtId="0" fontId="12" fillId="0" borderId="0" xfId="0" applyFont="1" applyAlignment="1">
      <alignment horizontal="right" vertical="center" wrapText="1"/>
    </xf>
    <xf numFmtId="0" fontId="3" fillId="2" borderId="0" xfId="0" applyFont="1" applyFill="1" applyAlignment="1">
      <alignment horizontal="right"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showGridLines="0" topLeftCell="A13" workbookViewId="0">
      <selection activeCell="A26" sqref="A26:G26"/>
    </sheetView>
  </sheetViews>
  <sheetFormatPr defaultRowHeight="14.25"/>
  <cols>
    <col min="1" max="5" width="34" customWidth="1"/>
    <col min="6" max="6" width="31" customWidth="1"/>
    <col min="7" max="7" width="34" customWidth="1"/>
    <col min="8" max="8" width="3" customWidth="1"/>
  </cols>
  <sheetData>
    <row r="1" spans="1:7" ht="18" customHeight="1">
      <c r="A1" s="105" t="s">
        <v>0</v>
      </c>
      <c r="B1" s="105"/>
      <c r="C1" s="105"/>
      <c r="D1" s="105"/>
      <c r="E1" s="105"/>
      <c r="F1" s="105"/>
      <c r="G1" s="105"/>
    </row>
    <row r="2" spans="1:7" ht="14.25" customHeight="1">
      <c r="A2" s="106" t="s">
        <v>1</v>
      </c>
      <c r="B2" s="106"/>
      <c r="C2" s="106"/>
      <c r="D2" s="106"/>
      <c r="E2" s="106"/>
      <c r="F2" s="106"/>
      <c r="G2" s="106"/>
    </row>
    <row r="3" spans="1:7" ht="14.25" customHeight="1">
      <c r="A3" s="107" t="s">
        <v>2</v>
      </c>
      <c r="B3" s="107"/>
      <c r="C3" s="107"/>
      <c r="D3" s="107"/>
      <c r="E3" s="107"/>
      <c r="F3" s="107"/>
      <c r="G3" s="107"/>
    </row>
    <row r="4" spans="1:7" ht="14.25" customHeight="1">
      <c r="A4" s="108" t="s">
        <v>3</v>
      </c>
      <c r="B4" s="108"/>
      <c r="C4" s="49"/>
      <c r="D4" s="46"/>
      <c r="E4" s="46"/>
      <c r="F4" s="108" t="s">
        <v>4</v>
      </c>
      <c r="G4" s="108"/>
    </row>
    <row r="5" spans="1:7" ht="14.25" customHeight="1">
      <c r="A5" s="59" t="s">
        <v>5</v>
      </c>
      <c r="B5" s="67" t="s">
        <v>6</v>
      </c>
      <c r="C5" s="46"/>
      <c r="D5" s="46"/>
      <c r="E5" s="46"/>
      <c r="F5" s="79" t="s">
        <v>7</v>
      </c>
      <c r="G5" s="61">
        <f>'Transaction &amp; Financing'!$C$54</f>
        <v>5.2540846520005156</v>
      </c>
    </row>
    <row r="6" spans="1:7" ht="14.25" customHeight="1">
      <c r="A6" s="59" t="s">
        <v>8</v>
      </c>
      <c r="B6" s="67" t="s">
        <v>9</v>
      </c>
      <c r="C6" s="46"/>
      <c r="D6" s="46"/>
      <c r="E6" s="46"/>
      <c r="F6" s="79" t="s">
        <v>10</v>
      </c>
      <c r="G6" s="61">
        <f>'Transaction &amp; Financing'!$C$55</f>
        <v>19.46615824594852</v>
      </c>
    </row>
    <row r="7" spans="1:7" ht="14.25" customHeight="1">
      <c r="A7" s="59" t="s">
        <v>11</v>
      </c>
      <c r="B7" s="81">
        <v>46219</v>
      </c>
      <c r="C7" s="46"/>
      <c r="D7" s="46"/>
      <c r="E7" s="46"/>
      <c r="F7" s="79" t="s">
        <v>12</v>
      </c>
      <c r="G7" s="61">
        <f>'Transaction &amp; Financing'!$C$56</f>
        <v>5.2501478887430855</v>
      </c>
    </row>
    <row r="8" spans="1:7" ht="24" customHeight="1">
      <c r="A8" s="59" t="s">
        <v>13</v>
      </c>
      <c r="B8" s="67" t="s">
        <v>14</v>
      </c>
      <c r="C8" s="47"/>
      <c r="D8" s="47"/>
      <c r="E8" s="47"/>
      <c r="F8" s="79" t="s">
        <v>15</v>
      </c>
      <c r="G8" s="61">
        <f>'Transaction &amp; Financing'!$C$57</f>
        <v>19.451572706959009</v>
      </c>
    </row>
    <row r="9" spans="1:7" ht="14.25" customHeight="1">
      <c r="A9" s="59" t="s">
        <v>16</v>
      </c>
      <c r="B9" s="67" t="s">
        <v>17</v>
      </c>
      <c r="C9" s="46"/>
      <c r="D9" s="46"/>
      <c r="E9" s="46"/>
      <c r="F9" s="79" t="s">
        <v>18</v>
      </c>
      <c r="G9" s="61">
        <f>'Transaction &amp; Financing'!$C$58</f>
        <v>19.451572706959009</v>
      </c>
    </row>
    <row r="10" spans="1:7" ht="14.25" customHeight="1">
      <c r="A10" s="59" t="s">
        <v>19</v>
      </c>
      <c r="B10" s="67" t="s">
        <v>20</v>
      </c>
      <c r="C10" s="46"/>
      <c r="D10" s="46"/>
      <c r="E10" s="46"/>
      <c r="F10" s="79" t="s">
        <v>21</v>
      </c>
      <c r="G10" s="62">
        <f>'Transaction &amp; Financing'!$C$60</f>
        <v>15</v>
      </c>
    </row>
    <row r="11" spans="1:7" ht="14.25" customHeight="1">
      <c r="A11" s="59" t="s">
        <v>22</v>
      </c>
      <c r="B11" s="82">
        <v>503</v>
      </c>
      <c r="C11" s="46"/>
      <c r="D11" s="46"/>
      <c r="E11" s="46"/>
      <c r="F11" s="79" t="s">
        <v>23</v>
      </c>
      <c r="G11" s="63">
        <f>'Transaction &amp; Financing'!$C$65</f>
        <v>110.38523399999997</v>
      </c>
    </row>
    <row r="12" spans="1:7" ht="14.25" customHeight="1">
      <c r="A12" s="59" t="s">
        <v>24</v>
      </c>
      <c r="B12" s="82">
        <v>3</v>
      </c>
      <c r="C12" s="46"/>
      <c r="D12" s="46"/>
      <c r="E12" s="46"/>
      <c r="F12" s="79" t="s">
        <v>25</v>
      </c>
      <c r="G12" s="63">
        <f>'Transaction &amp; Financing'!$C$68</f>
        <v>84.17820599999996</v>
      </c>
    </row>
    <row r="13" spans="1:7" ht="14.25" customHeight="1">
      <c r="A13" s="59" t="s">
        <v>26</v>
      </c>
      <c r="B13" s="83">
        <f>B11+B12</f>
        <v>506</v>
      </c>
      <c r="C13" s="46"/>
      <c r="D13" s="46"/>
      <c r="E13" s="46"/>
      <c r="F13" s="79" t="s">
        <v>27</v>
      </c>
      <c r="G13" s="63">
        <f>'Transaction &amp; Financing'!$C$67</f>
        <v>61.247056499999985</v>
      </c>
    </row>
    <row r="14" spans="1:7" ht="14.25" customHeight="1">
      <c r="A14" s="59" t="s">
        <v>28</v>
      </c>
      <c r="B14" s="82">
        <v>290.8</v>
      </c>
      <c r="C14" s="46"/>
      <c r="D14" s="46"/>
      <c r="E14" s="46"/>
      <c r="F14" s="79" t="s">
        <v>29</v>
      </c>
      <c r="G14" s="64" t="str">
        <f>IF(ABS('Transaction &amp; Financing'!$B$82)&lt;0.1,"OK","ERROR")</f>
        <v>OK</v>
      </c>
    </row>
    <row r="15" spans="1:7" ht="25.5">
      <c r="A15" s="59" t="s">
        <v>30</v>
      </c>
      <c r="B15" s="82">
        <v>309.2</v>
      </c>
      <c r="C15" s="46"/>
      <c r="D15" s="46"/>
      <c r="E15" s="46"/>
      <c r="F15" s="79" t="s">
        <v>337</v>
      </c>
      <c r="G15" s="65">
        <f>'Accretion-Dilution'!$B$21</f>
        <v>2.9496976360637714</v>
      </c>
    </row>
    <row r="16" spans="1:7" ht="25.5">
      <c r="A16" s="59" t="s">
        <v>31</v>
      </c>
      <c r="B16" s="84">
        <f>B11/B14-1</f>
        <v>0.72971114167812923</v>
      </c>
      <c r="C16" s="46"/>
      <c r="D16" s="46"/>
      <c r="E16" s="46"/>
      <c r="F16" s="79" t="s">
        <v>338</v>
      </c>
      <c r="G16" s="65">
        <f>'Accretion-Dilution'!$B$23</f>
        <v>3.0210814337108185</v>
      </c>
    </row>
    <row r="17" spans="1:7" ht="14.25" customHeight="1">
      <c r="A17" s="59" t="s">
        <v>32</v>
      </c>
      <c r="B17" s="84">
        <f>B11/B15-1</f>
        <v>0.62677878395860298</v>
      </c>
      <c r="C17" s="46"/>
      <c r="D17" s="46"/>
      <c r="E17" s="46"/>
      <c r="F17" s="79" t="s">
        <v>339</v>
      </c>
      <c r="G17" s="66">
        <f>'Accretion-Dilution'!$B$25</f>
        <v>2.4200377955452268E-2</v>
      </c>
    </row>
    <row r="18" spans="1:7" ht="14.25" customHeight="1">
      <c r="A18" s="59" t="s">
        <v>33</v>
      </c>
      <c r="B18" s="85">
        <f>'Transaction &amp; Financing'!$B$9</f>
        <v>822.25446399999998</v>
      </c>
      <c r="C18" s="46"/>
      <c r="D18" s="46"/>
      <c r="E18" s="46"/>
      <c r="F18" s="79" t="s">
        <v>340</v>
      </c>
      <c r="G18" s="66">
        <f>'Accretion-Dilution'!$C$25</f>
        <v>3.5502356946612412E-2</v>
      </c>
    </row>
    <row r="19" spans="1:7" ht="14.25" customHeight="1">
      <c r="A19" s="59" t="s">
        <v>34</v>
      </c>
      <c r="B19" s="86">
        <f>'Transaction &amp; Financing'!$C$37</f>
        <v>5573.4686037039746</v>
      </c>
      <c r="C19" s="46"/>
      <c r="D19" s="46"/>
      <c r="E19" s="46"/>
      <c r="F19" s="79" t="s">
        <v>341</v>
      </c>
      <c r="G19" s="64" t="str">
        <f>'Accretion-Dilution'!$B$27</f>
        <v>FY27E full-year PF / run-rate</v>
      </c>
    </row>
    <row r="20" spans="1:7" ht="14.25" customHeight="1">
      <c r="A20" s="59" t="s">
        <v>35</v>
      </c>
      <c r="B20" s="86">
        <f>'Transaction &amp; Financing'!$C$48</f>
        <v>5503.47588</v>
      </c>
      <c r="C20" s="46"/>
      <c r="D20" s="46"/>
      <c r="E20" s="46"/>
      <c r="F20" s="79" t="s">
        <v>36</v>
      </c>
      <c r="G20" s="60" t="str">
        <f>'Accretion-Dilution'!$B$28</f>
        <v>N/A – accretive pre-synergy</v>
      </c>
    </row>
    <row r="21" spans="1:7" ht="14.25" customHeight="1">
      <c r="A21" s="59" t="s">
        <v>37</v>
      </c>
      <c r="B21" s="87">
        <f>'Transaction &amp; Financing'!$B$10</f>
        <v>1.3475699999999999</v>
      </c>
      <c r="C21" s="46"/>
      <c r="D21" s="46"/>
      <c r="E21" s="46"/>
      <c r="F21" s="50"/>
      <c r="G21" s="53"/>
    </row>
    <row r="22" spans="1:7" ht="14.25" customHeight="1">
      <c r="A22" s="77" t="s">
        <v>38</v>
      </c>
      <c r="B22" s="111" t="s">
        <v>39</v>
      </c>
      <c r="C22" s="111"/>
      <c r="D22" s="111"/>
      <c r="E22" s="111"/>
      <c r="F22" s="111"/>
      <c r="G22" s="111"/>
    </row>
    <row r="23" spans="1:7" ht="14.25" customHeight="1">
      <c r="A23" s="49"/>
      <c r="B23" s="50"/>
      <c r="C23" s="46"/>
      <c r="D23" s="46"/>
      <c r="E23" s="46"/>
      <c r="F23" s="46"/>
      <c r="G23" s="46"/>
    </row>
    <row r="24" spans="1:7" ht="14.25" customHeight="1">
      <c r="A24" s="49"/>
      <c r="B24" s="50"/>
      <c r="C24" s="46"/>
      <c r="D24" s="46"/>
      <c r="E24" s="46"/>
      <c r="F24" s="46"/>
      <c r="G24" s="46"/>
    </row>
    <row r="25" spans="1:7" ht="14.25" customHeight="1">
      <c r="A25" s="109" t="s">
        <v>40</v>
      </c>
      <c r="B25" s="110"/>
      <c r="C25" s="108"/>
      <c r="D25" s="108"/>
      <c r="E25" s="108"/>
      <c r="F25" s="108"/>
      <c r="G25" s="108"/>
    </row>
    <row r="26" spans="1:7" ht="14.25" customHeight="1">
      <c r="A26" s="101" t="s">
        <v>41</v>
      </c>
      <c r="B26" s="101"/>
      <c r="C26" s="112"/>
      <c r="D26" s="112"/>
      <c r="E26" s="112"/>
      <c r="F26" s="112"/>
      <c r="G26" s="112"/>
    </row>
    <row r="27" spans="1:7" ht="14.25" customHeight="1">
      <c r="A27" s="101" t="s">
        <v>42</v>
      </c>
      <c r="B27" s="101"/>
      <c r="C27" s="112"/>
      <c r="D27" s="112"/>
      <c r="E27" s="112"/>
      <c r="F27" s="112"/>
      <c r="G27" s="112"/>
    </row>
    <row r="28" spans="1:7" ht="14.25" customHeight="1">
      <c r="A28" s="101" t="s">
        <v>43</v>
      </c>
      <c r="B28" s="101"/>
      <c r="C28" s="112"/>
      <c r="D28" s="112"/>
      <c r="E28" s="112"/>
      <c r="F28" s="112"/>
      <c r="G28" s="112"/>
    </row>
    <row r="29" spans="1:7" ht="14.25" customHeight="1">
      <c r="A29" s="101" t="s">
        <v>44</v>
      </c>
      <c r="B29" s="101"/>
      <c r="C29" s="112"/>
      <c r="D29" s="112"/>
      <c r="E29" s="112"/>
      <c r="F29" s="112"/>
      <c r="G29" s="112"/>
    </row>
    <row r="30" spans="1:7" ht="14.25" customHeight="1">
      <c r="A30" s="49"/>
      <c r="B30" s="50"/>
      <c r="C30" s="46"/>
      <c r="D30" s="46"/>
      <c r="E30" s="46"/>
      <c r="F30" s="46"/>
      <c r="G30" s="46"/>
    </row>
    <row r="31" spans="1:7" ht="14.25" customHeight="1">
      <c r="A31" s="109" t="s">
        <v>45</v>
      </c>
      <c r="B31" s="110"/>
      <c r="C31" s="108"/>
      <c r="D31" s="108"/>
      <c r="E31" s="108"/>
      <c r="F31" s="108"/>
      <c r="G31" s="108"/>
    </row>
    <row r="32" spans="1:7" ht="14.25" customHeight="1">
      <c r="A32" s="80" t="s">
        <v>46</v>
      </c>
      <c r="B32" s="101" t="s">
        <v>47</v>
      </c>
      <c r="C32" s="102"/>
      <c r="D32" s="102"/>
      <c r="E32" s="102"/>
      <c r="F32" s="102"/>
      <c r="G32" s="102"/>
    </row>
    <row r="33" spans="1:8" ht="14.25" customHeight="1">
      <c r="A33" s="80" t="s">
        <v>48</v>
      </c>
      <c r="B33" s="101" t="s">
        <v>49</v>
      </c>
      <c r="C33" s="102"/>
      <c r="D33" s="102"/>
      <c r="E33" s="102"/>
      <c r="F33" s="102"/>
      <c r="G33" s="102"/>
    </row>
    <row r="34" spans="1:8" ht="14.25" customHeight="1">
      <c r="A34" s="80" t="s">
        <v>50</v>
      </c>
      <c r="B34" s="101" t="s">
        <v>51</v>
      </c>
      <c r="C34" s="102"/>
      <c r="D34" s="102"/>
      <c r="E34" s="102"/>
      <c r="F34" s="102"/>
      <c r="G34" s="102"/>
    </row>
    <row r="35" spans="1:8">
      <c r="A35" s="46"/>
      <c r="B35" s="46"/>
      <c r="C35" s="46"/>
      <c r="D35" s="46"/>
      <c r="E35" s="46"/>
      <c r="F35" s="46"/>
      <c r="G35" s="46"/>
    </row>
    <row r="36" spans="1:8">
      <c r="A36" s="103"/>
      <c r="B36" s="103"/>
      <c r="C36" s="103"/>
      <c r="D36" s="103"/>
      <c r="E36" s="103"/>
      <c r="F36" s="103"/>
      <c r="G36" s="103"/>
      <c r="H36" s="104"/>
    </row>
  </sheetData>
  <mergeCells count="16">
    <mergeCell ref="B34:G34"/>
    <mergeCell ref="A36:H36"/>
    <mergeCell ref="A1:G1"/>
    <mergeCell ref="A2:G2"/>
    <mergeCell ref="A3:G3"/>
    <mergeCell ref="A4:B4"/>
    <mergeCell ref="F4:G4"/>
    <mergeCell ref="A25:G25"/>
    <mergeCell ref="A31:G31"/>
    <mergeCell ref="B22:G22"/>
    <mergeCell ref="A26:G26"/>
    <mergeCell ref="A27:G27"/>
    <mergeCell ref="A28:G28"/>
    <mergeCell ref="A29:G29"/>
    <mergeCell ref="B32:G32"/>
    <mergeCell ref="B33:G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0"/>
  <sheetViews>
    <sheetView showGridLines="0" topLeftCell="A19" workbookViewId="0">
      <selection sqref="A1:G1"/>
    </sheetView>
  </sheetViews>
  <sheetFormatPr defaultRowHeight="14.25"/>
  <cols>
    <col min="1" max="7" width="40" customWidth="1"/>
  </cols>
  <sheetData>
    <row r="1" spans="1:7" ht="18" customHeight="1">
      <c r="A1" s="105" t="s">
        <v>52</v>
      </c>
      <c r="B1" s="105"/>
      <c r="C1" s="105"/>
      <c r="D1" s="105"/>
      <c r="E1" s="105"/>
      <c r="F1" s="105"/>
      <c r="G1" s="105"/>
    </row>
    <row r="2" spans="1:7" ht="14.25" customHeight="1">
      <c r="A2" s="106" t="s">
        <v>53</v>
      </c>
      <c r="B2" s="106"/>
      <c r="C2" s="106"/>
      <c r="D2" s="106"/>
      <c r="E2" s="106"/>
      <c r="F2" s="106"/>
      <c r="G2" s="106"/>
    </row>
    <row r="3" spans="1:7" ht="14.25" customHeight="1">
      <c r="A3" s="107" t="s">
        <v>54</v>
      </c>
      <c r="B3" s="107"/>
      <c r="C3" s="107"/>
      <c r="D3" s="107"/>
      <c r="E3" s="107"/>
      <c r="F3" s="107"/>
      <c r="G3" s="107"/>
    </row>
    <row r="4" spans="1:7" ht="14.25" customHeight="1">
      <c r="A4" s="108" t="s">
        <v>55</v>
      </c>
      <c r="B4" s="108"/>
      <c r="C4" s="108"/>
      <c r="D4" s="108"/>
      <c r="E4" s="108"/>
      <c r="F4" s="108"/>
      <c r="G4" s="108"/>
    </row>
    <row r="5" spans="1:7" ht="14.25" customHeight="1">
      <c r="A5" s="68" t="s">
        <v>56</v>
      </c>
      <c r="B5" s="69" t="s">
        <v>57</v>
      </c>
      <c r="C5" s="69" t="s">
        <v>58</v>
      </c>
      <c r="D5" s="69" t="s">
        <v>59</v>
      </c>
      <c r="E5" s="70" t="s">
        <v>60</v>
      </c>
      <c r="F5" s="70" t="s">
        <v>61</v>
      </c>
      <c r="G5" s="70" t="s">
        <v>62</v>
      </c>
    </row>
    <row r="6" spans="1:7" ht="14.25" customHeight="1">
      <c r="A6" s="1" t="s">
        <v>63</v>
      </c>
      <c r="B6" s="8">
        <v>30583</v>
      </c>
      <c r="C6" s="8">
        <v>33220</v>
      </c>
      <c r="D6" s="8">
        <v>18209</v>
      </c>
      <c r="E6" s="10">
        <f>D6*$B$32</f>
        <v>36418</v>
      </c>
      <c r="F6" s="10">
        <f>E6*(1+$B$33)</f>
        <v>38238.9</v>
      </c>
      <c r="G6" s="10">
        <f>F6*(1+$B$34)</f>
        <v>40150.845000000001</v>
      </c>
    </row>
    <row r="7" spans="1:7" ht="14.25" customHeight="1">
      <c r="A7" s="1" t="s">
        <v>64</v>
      </c>
      <c r="B7" s="57" t="s">
        <v>65</v>
      </c>
      <c r="C7" s="4">
        <f>C6/B6-1</f>
        <v>8.6224373017689482E-2</v>
      </c>
      <c r="D7" s="57" t="s">
        <v>65</v>
      </c>
      <c r="E7" s="4">
        <f>E6/C6-1</f>
        <v>9.6267308850090272E-2</v>
      </c>
      <c r="F7" s="4">
        <f>F6/E6-1</f>
        <v>5.0000000000000044E-2</v>
      </c>
      <c r="G7" s="4">
        <f>G6/F6-1</f>
        <v>5.0000000000000044E-2</v>
      </c>
    </row>
    <row r="8" spans="1:7" ht="14.25" customHeight="1">
      <c r="A8" s="1" t="s">
        <v>66</v>
      </c>
      <c r="B8" s="8">
        <v>4735</v>
      </c>
      <c r="C8" s="8">
        <v>6047</v>
      </c>
      <c r="D8" s="8">
        <v>3365</v>
      </c>
      <c r="E8" s="10">
        <f>D8*$B$32</f>
        <v>6730</v>
      </c>
      <c r="F8" s="10">
        <f>E8*(1+$B$33)</f>
        <v>7066.5</v>
      </c>
      <c r="G8" s="10">
        <f>F8*(1+$B$34)</f>
        <v>7419.8250000000007</v>
      </c>
    </row>
    <row r="9" spans="1:7" ht="14.25" customHeight="1">
      <c r="A9" s="51" t="s">
        <v>67</v>
      </c>
      <c r="B9" s="16">
        <v>5572</v>
      </c>
      <c r="C9" s="16">
        <v>6314</v>
      </c>
      <c r="D9" s="16">
        <v>3974</v>
      </c>
      <c r="E9" s="16">
        <f>D9*$B$32</f>
        <v>7948</v>
      </c>
      <c r="F9" s="16">
        <f>E9*(1+$B$33)</f>
        <v>8345.4</v>
      </c>
      <c r="G9" s="16">
        <f>F9*(1+$B$34)</f>
        <v>8762.67</v>
      </c>
    </row>
    <row r="10" spans="1:7" ht="14.25" customHeight="1">
      <c r="A10" s="1" t="s">
        <v>68</v>
      </c>
      <c r="B10" s="4">
        <f t="shared" ref="B10:G10" si="0">B9/B6</f>
        <v>0.18219272144655527</v>
      </c>
      <c r="C10" s="4">
        <f t="shared" si="0"/>
        <v>0.1900662251655629</v>
      </c>
      <c r="D10" s="4">
        <f t="shared" si="0"/>
        <v>0.21824372563018288</v>
      </c>
      <c r="E10" s="4">
        <f t="shared" si="0"/>
        <v>0.21824372563018288</v>
      </c>
      <c r="F10" s="4">
        <f t="shared" si="0"/>
        <v>0.21824372563018285</v>
      </c>
      <c r="G10" s="4">
        <f t="shared" si="0"/>
        <v>0.21824372563018288</v>
      </c>
    </row>
    <row r="11" spans="1:7" ht="14.25" customHeight="1">
      <c r="A11" s="1" t="s">
        <v>69</v>
      </c>
      <c r="B11" s="8">
        <v>132</v>
      </c>
      <c r="C11" s="8">
        <v>117</v>
      </c>
      <c r="D11" s="8">
        <v>52</v>
      </c>
      <c r="E11" s="10">
        <f>D11*$B$32</f>
        <v>104</v>
      </c>
      <c r="F11" s="10">
        <f>E11</f>
        <v>104</v>
      </c>
      <c r="G11" s="10">
        <f>F11</f>
        <v>104</v>
      </c>
    </row>
    <row r="12" spans="1:7" ht="14.25" customHeight="1">
      <c r="A12" s="1" t="s">
        <v>70</v>
      </c>
      <c r="B12" s="8">
        <v>-1197</v>
      </c>
      <c r="C12" s="8">
        <v>-1570</v>
      </c>
      <c r="D12" s="8">
        <v>-883</v>
      </c>
      <c r="E12" s="10">
        <f>-(E8+E11)*E13</f>
        <v>-1766</v>
      </c>
      <c r="F12" s="10">
        <f>-(F8+F11)*F13</f>
        <v>-1852.9562481709102</v>
      </c>
      <c r="G12" s="10">
        <f>-(G8+G11)*G13</f>
        <v>-1944.260308750366</v>
      </c>
    </row>
    <row r="13" spans="1:7" ht="14.25" customHeight="1">
      <c r="A13" s="1" t="s">
        <v>71</v>
      </c>
      <c r="B13" s="4">
        <f>-B12/(B8+B11)</f>
        <v>0.24594205876309841</v>
      </c>
      <c r="C13" s="4">
        <f>-C12/(C8+C11)</f>
        <v>0.254704737183647</v>
      </c>
      <c r="D13" s="4">
        <f>-D12/(D8+D11)</f>
        <v>0.25841381328650864</v>
      </c>
      <c r="E13" s="4">
        <f>D13</f>
        <v>0.25841381328650864</v>
      </c>
      <c r="F13" s="4">
        <f>E13</f>
        <v>0.25841381328650864</v>
      </c>
      <c r="G13" s="4">
        <f>F13</f>
        <v>0.25841381328650864</v>
      </c>
    </row>
    <row r="14" spans="1:7" ht="14.25" customHeight="1">
      <c r="A14" s="51" t="s">
        <v>72</v>
      </c>
      <c r="B14" s="16">
        <v>3935</v>
      </c>
      <c r="C14" s="16">
        <v>4734</v>
      </c>
      <c r="D14" s="16">
        <v>2555</v>
      </c>
      <c r="E14" s="16">
        <f>D14*$B$32</f>
        <v>5110</v>
      </c>
      <c r="F14" s="16">
        <f>E14*(1+$B$33)</f>
        <v>5365.5</v>
      </c>
      <c r="G14" s="16">
        <f>F14*(1+$B$34)</f>
        <v>5633.7750000000005</v>
      </c>
    </row>
    <row r="15" spans="1:7" ht="14.25" customHeight="1">
      <c r="A15" s="51" t="s">
        <v>73</v>
      </c>
      <c r="B15" s="19">
        <v>1851</v>
      </c>
      <c r="C15" s="19">
        <v>1831</v>
      </c>
      <c r="D15" s="19">
        <v>1819</v>
      </c>
      <c r="E15" s="19">
        <f>D15</f>
        <v>1819</v>
      </c>
      <c r="F15" s="19">
        <f>E15</f>
        <v>1819</v>
      </c>
      <c r="G15" s="19">
        <f>F15</f>
        <v>1819</v>
      </c>
    </row>
    <row r="16" spans="1:7" ht="14.25" customHeight="1">
      <c r="A16" s="52" t="s">
        <v>74</v>
      </c>
      <c r="B16" s="18">
        <v>2.13</v>
      </c>
      <c r="C16" s="18">
        <v>2.59</v>
      </c>
      <c r="D16" s="18">
        <v>1.4</v>
      </c>
      <c r="E16" s="18">
        <f>E14/E15</f>
        <v>2.8092358438702583</v>
      </c>
      <c r="F16" s="18">
        <f>F14/F15</f>
        <v>2.9496976360637714</v>
      </c>
      <c r="G16" s="18">
        <f>G14/G15</f>
        <v>3.0971825178669601</v>
      </c>
    </row>
    <row r="17" spans="1:7" ht="14.25" customHeight="1">
      <c r="A17" s="1" t="s">
        <v>75</v>
      </c>
      <c r="B17" s="8">
        <v>4675</v>
      </c>
      <c r="C17" s="8">
        <v>5469</v>
      </c>
      <c r="D17" s="8">
        <v>2179</v>
      </c>
      <c r="E17" s="10">
        <f>D17*$B$32</f>
        <v>4358</v>
      </c>
      <c r="F17" s="10">
        <f>E17*(1+$B$33)</f>
        <v>4575.9000000000005</v>
      </c>
      <c r="G17" s="10">
        <f>F17*(1+$B$34)</f>
        <v>4804.6950000000006</v>
      </c>
    </row>
    <row r="18" spans="1:7" ht="14.25" customHeight="1">
      <c r="A18" s="1" t="s">
        <v>76</v>
      </c>
      <c r="B18" s="8">
        <v>3937</v>
      </c>
      <c r="C18" s="8">
        <v>4566</v>
      </c>
      <c r="D18" s="8">
        <v>2131</v>
      </c>
      <c r="E18" s="10">
        <f>D18*$B$32</f>
        <v>4262</v>
      </c>
      <c r="F18" s="10">
        <f>E18*(1+$B$33)</f>
        <v>4475.1000000000004</v>
      </c>
      <c r="G18" s="10">
        <f>F18*(1+$B$34)</f>
        <v>4698.8550000000005</v>
      </c>
    </row>
    <row r="19" spans="1:7" ht="14.25" customHeight="1">
      <c r="A19" s="49"/>
      <c r="B19" s="53"/>
      <c r="C19" s="53"/>
      <c r="D19" s="53"/>
      <c r="E19" s="53"/>
      <c r="F19" s="53"/>
      <c r="G19" s="53"/>
    </row>
    <row r="20" spans="1:7" ht="14.25" customHeight="1">
      <c r="A20" s="49"/>
      <c r="B20" s="53"/>
      <c r="C20" s="53"/>
      <c r="D20" s="53"/>
      <c r="E20" s="53"/>
      <c r="F20" s="53"/>
      <c r="G20" s="53"/>
    </row>
    <row r="21" spans="1:7" ht="14.25" customHeight="1">
      <c r="A21" s="109" t="s">
        <v>77</v>
      </c>
      <c r="B21" s="117"/>
      <c r="C21" s="117"/>
      <c r="D21" s="117"/>
      <c r="E21" s="117"/>
      <c r="F21" s="117"/>
      <c r="G21" s="117"/>
    </row>
    <row r="22" spans="1:7" ht="14.25" customHeight="1">
      <c r="A22" s="1" t="s">
        <v>78</v>
      </c>
      <c r="B22" s="8">
        <v>4326</v>
      </c>
      <c r="C22" s="8">
        <v>4640</v>
      </c>
      <c r="D22" s="8">
        <v>3867</v>
      </c>
      <c r="E22" s="54"/>
      <c r="F22" s="54"/>
      <c r="G22" s="54"/>
    </row>
    <row r="23" spans="1:7" ht="14.25" customHeight="1">
      <c r="A23" s="1" t="s">
        <v>79</v>
      </c>
      <c r="B23" s="8">
        <v>1334</v>
      </c>
      <c r="C23" s="8">
        <v>1981</v>
      </c>
      <c r="D23" s="8">
        <v>1990</v>
      </c>
      <c r="E23" s="54"/>
      <c r="F23" s="54"/>
      <c r="G23" s="54"/>
    </row>
    <row r="24" spans="1:7" ht="14.25" customHeight="1">
      <c r="A24" s="1" t="s">
        <v>80</v>
      </c>
      <c r="B24" s="8">
        <v>6940</v>
      </c>
      <c r="C24" s="8">
        <v>8304</v>
      </c>
      <c r="D24" s="8">
        <v>8177</v>
      </c>
      <c r="E24" s="54"/>
      <c r="F24" s="54"/>
      <c r="G24" s="54"/>
    </row>
    <row r="25" spans="1:7" ht="14.25" customHeight="1">
      <c r="A25" s="51" t="s">
        <v>81</v>
      </c>
      <c r="B25" s="16">
        <v>1280</v>
      </c>
      <c r="C25" s="16">
        <v>1683</v>
      </c>
      <c r="D25" s="16">
        <f>D24-D22-D23</f>
        <v>2320</v>
      </c>
      <c r="E25" s="16"/>
      <c r="F25" s="16"/>
      <c r="G25" s="16"/>
    </row>
    <row r="26" spans="1:7" ht="14.25" customHeight="1">
      <c r="A26" s="1" t="s">
        <v>82</v>
      </c>
      <c r="B26" s="12">
        <f>B25/B9</f>
        <v>0.22972002871500358</v>
      </c>
      <c r="C26" s="12">
        <f>C25/C9</f>
        <v>0.2665505226480836</v>
      </c>
      <c r="D26" s="12">
        <f>D25/D9</f>
        <v>0.58379466532461</v>
      </c>
      <c r="E26" s="55"/>
      <c r="F26" s="55"/>
      <c r="G26" s="55"/>
    </row>
    <row r="27" spans="1:7" ht="14.25" customHeight="1">
      <c r="A27" s="49"/>
      <c r="B27" s="53"/>
      <c r="C27" s="53"/>
      <c r="D27" s="53"/>
      <c r="E27" s="53"/>
      <c r="F27" s="53"/>
      <c r="G27" s="53"/>
    </row>
    <row r="28" spans="1:7" ht="14.25" customHeight="1">
      <c r="A28" s="49"/>
      <c r="B28" s="53"/>
      <c r="C28" s="53"/>
      <c r="D28" s="53"/>
      <c r="E28" s="53"/>
      <c r="F28" s="53"/>
      <c r="G28" s="53"/>
    </row>
    <row r="29" spans="1:7" ht="14.25" customHeight="1">
      <c r="A29" s="109" t="s">
        <v>83</v>
      </c>
      <c r="B29" s="117"/>
      <c r="C29" s="117"/>
      <c r="D29" s="117"/>
      <c r="E29" s="117"/>
      <c r="F29" s="117"/>
      <c r="G29" s="117"/>
    </row>
    <row r="30" spans="1:7" ht="14.25" customHeight="1">
      <c r="A30" s="1" t="s">
        <v>84</v>
      </c>
      <c r="B30" s="113" t="s">
        <v>85</v>
      </c>
      <c r="C30" s="113"/>
      <c r="D30" s="113"/>
      <c r="E30" s="113"/>
      <c r="F30" s="113"/>
      <c r="G30" s="113"/>
    </row>
    <row r="31" spans="1:7" ht="14.25" customHeight="1">
      <c r="A31" s="1" t="s">
        <v>86</v>
      </c>
      <c r="B31" s="113" t="s">
        <v>87</v>
      </c>
      <c r="C31" s="114"/>
      <c r="D31" s="114"/>
      <c r="E31" s="114"/>
      <c r="F31" s="114"/>
      <c r="G31" s="114"/>
    </row>
    <row r="32" spans="1:7" ht="14.25" customHeight="1">
      <c r="A32" s="1" t="s">
        <v>88</v>
      </c>
      <c r="B32" s="88">
        <v>2</v>
      </c>
      <c r="C32" s="53"/>
      <c r="D32" s="53"/>
      <c r="E32" s="53"/>
      <c r="F32" s="53"/>
      <c r="G32" s="53"/>
    </row>
    <row r="33" spans="1:7" ht="14.25" customHeight="1">
      <c r="A33" s="1" t="s">
        <v>89</v>
      </c>
      <c r="B33" s="89">
        <v>0.05</v>
      </c>
      <c r="C33" s="53"/>
      <c r="D33" s="53"/>
      <c r="E33" s="53"/>
      <c r="F33" s="53"/>
      <c r="G33" s="53"/>
    </row>
    <row r="34" spans="1:7" ht="14.25" customHeight="1">
      <c r="A34" s="1" t="s">
        <v>90</v>
      </c>
      <c r="B34" s="89">
        <v>0.05</v>
      </c>
      <c r="C34" s="53"/>
      <c r="D34" s="53"/>
      <c r="E34" s="53"/>
      <c r="F34" s="53"/>
      <c r="G34" s="53"/>
    </row>
    <row r="35" spans="1:7" ht="14.25" customHeight="1">
      <c r="A35" s="1" t="s">
        <v>91</v>
      </c>
      <c r="B35" s="90">
        <f>D15</f>
        <v>1819</v>
      </c>
      <c r="C35" s="53"/>
      <c r="D35" s="53"/>
      <c r="E35" s="53"/>
      <c r="F35" s="53"/>
      <c r="G35" s="53"/>
    </row>
    <row r="36" spans="1:7" ht="14.25" customHeight="1">
      <c r="A36" s="1" t="s">
        <v>92</v>
      </c>
      <c r="B36" s="91">
        <f>D13</f>
        <v>0.25841381328650864</v>
      </c>
      <c r="C36" s="53"/>
      <c r="D36" s="53"/>
      <c r="E36" s="53"/>
      <c r="F36" s="53"/>
      <c r="G36" s="53"/>
    </row>
    <row r="37" spans="1:7" ht="14.25" customHeight="1">
      <c r="A37" s="49"/>
      <c r="B37" s="76"/>
      <c r="C37" s="53"/>
      <c r="D37" s="53"/>
      <c r="E37" s="53"/>
      <c r="F37" s="53"/>
      <c r="G37" s="53"/>
    </row>
    <row r="38" spans="1:7" ht="14.25" customHeight="1">
      <c r="A38" s="103" t="s">
        <v>93</v>
      </c>
      <c r="B38" s="115"/>
      <c r="C38" s="115"/>
      <c r="D38" s="115"/>
      <c r="E38" s="115"/>
      <c r="F38" s="115"/>
      <c r="G38" s="115"/>
    </row>
    <row r="39" spans="1:7" ht="14.25" customHeight="1">
      <c r="A39" s="103" t="s">
        <v>94</v>
      </c>
      <c r="B39" s="115"/>
      <c r="C39" s="115"/>
      <c r="D39" s="115"/>
      <c r="E39" s="115"/>
      <c r="F39" s="115"/>
      <c r="G39" s="115"/>
    </row>
    <row r="40" spans="1:7" ht="14.25" customHeight="1">
      <c r="A40" s="107" t="s">
        <v>95</v>
      </c>
      <c r="B40" s="116"/>
      <c r="C40" s="116"/>
      <c r="D40" s="116"/>
      <c r="E40" s="116"/>
      <c r="F40" s="116"/>
      <c r="G40" s="116"/>
    </row>
  </sheetData>
  <mergeCells count="11">
    <mergeCell ref="A1:G1"/>
    <mergeCell ref="A2:G2"/>
    <mergeCell ref="A4:G4"/>
    <mergeCell ref="A21:G21"/>
    <mergeCell ref="A29:G29"/>
    <mergeCell ref="A3:G3"/>
    <mergeCell ref="B30:G30"/>
    <mergeCell ref="B31:G31"/>
    <mergeCell ref="A38:G38"/>
    <mergeCell ref="A39:G39"/>
    <mergeCell ref="A40:G4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2"/>
  <sheetViews>
    <sheetView showGridLines="0" topLeftCell="D1" workbookViewId="0">
      <selection sqref="A1:G1"/>
    </sheetView>
  </sheetViews>
  <sheetFormatPr defaultRowHeight="14.25"/>
  <cols>
    <col min="1" max="7" width="42" customWidth="1"/>
  </cols>
  <sheetData>
    <row r="1" spans="1:7" ht="18" customHeight="1">
      <c r="A1" s="105" t="s">
        <v>96</v>
      </c>
      <c r="B1" s="105"/>
      <c r="C1" s="105"/>
      <c r="D1" s="105"/>
      <c r="E1" s="105"/>
      <c r="F1" s="105"/>
      <c r="G1" s="105"/>
    </row>
    <row r="2" spans="1:7" ht="14.25" customHeight="1">
      <c r="A2" s="106" t="s">
        <v>97</v>
      </c>
      <c r="B2" s="106"/>
      <c r="C2" s="106"/>
      <c r="D2" s="106"/>
      <c r="E2" s="106"/>
      <c r="F2" s="106"/>
      <c r="G2" s="106"/>
    </row>
    <row r="3" spans="1:7" ht="14.25" customHeight="1">
      <c r="A3" s="107" t="s">
        <v>98</v>
      </c>
      <c r="B3" s="107"/>
      <c r="C3" s="107"/>
      <c r="D3" s="107"/>
      <c r="E3" s="107"/>
      <c r="F3" s="107"/>
      <c r="G3" s="107"/>
    </row>
    <row r="4" spans="1:7" ht="14.25" customHeight="1">
      <c r="A4" s="108" t="s">
        <v>99</v>
      </c>
      <c r="B4" s="108"/>
      <c r="C4" s="108"/>
      <c r="D4" s="108"/>
      <c r="E4" s="108"/>
      <c r="F4" s="108"/>
      <c r="G4" s="108"/>
    </row>
    <row r="5" spans="1:7" ht="14.25" customHeight="1">
      <c r="A5" s="68" t="s">
        <v>56</v>
      </c>
      <c r="B5" s="69" t="s">
        <v>57</v>
      </c>
      <c r="C5" s="69" t="s">
        <v>58</v>
      </c>
      <c r="D5" s="69" t="s">
        <v>59</v>
      </c>
      <c r="E5" s="70" t="s">
        <v>60</v>
      </c>
      <c r="F5" s="70" t="s">
        <v>61</v>
      </c>
      <c r="G5" s="70" t="s">
        <v>62</v>
      </c>
    </row>
    <row r="6" spans="1:7" ht="14.25" customHeight="1">
      <c r="A6" s="1" t="s">
        <v>63</v>
      </c>
      <c r="B6" s="9">
        <v>754.4</v>
      </c>
      <c r="C6" s="9">
        <v>777.3</v>
      </c>
      <c r="D6" s="9">
        <v>367.2</v>
      </c>
      <c r="E6" s="11">
        <f>D6*$B$36</f>
        <v>734.4</v>
      </c>
      <c r="F6" s="11">
        <f>E6*(1+$B$37)</f>
        <v>771.12</v>
      </c>
      <c r="G6" s="11">
        <f>F6*(1+$B$38)</f>
        <v>809.67600000000004</v>
      </c>
    </row>
    <row r="7" spans="1:7" ht="14.25" customHeight="1">
      <c r="A7" s="1" t="s">
        <v>64</v>
      </c>
      <c r="B7" s="57" t="s">
        <v>65</v>
      </c>
      <c r="C7" s="4">
        <f>C6/B6-1</f>
        <v>3.0355249204665924E-2</v>
      </c>
      <c r="D7" s="57" t="s">
        <v>65</v>
      </c>
      <c r="E7" s="4">
        <f>E6/C6-1</f>
        <v>-5.5191045928213001E-2</v>
      </c>
      <c r="F7" s="4">
        <f>F6/E6-1</f>
        <v>5.0000000000000044E-2</v>
      </c>
      <c r="G7" s="4">
        <f>G6/F6-1</f>
        <v>5.0000000000000044E-2</v>
      </c>
    </row>
    <row r="8" spans="1:7" ht="14.25" customHeight="1">
      <c r="A8" s="1" t="s">
        <v>100</v>
      </c>
      <c r="B8" s="9">
        <v>135.9</v>
      </c>
      <c r="C8" s="9">
        <v>157.1</v>
      </c>
      <c r="D8" s="9">
        <v>72</v>
      </c>
      <c r="E8" s="11">
        <f>D8*$B$36</f>
        <v>144</v>
      </c>
      <c r="F8" s="11">
        <f>E8*(1+$B$37)</f>
        <v>151.20000000000002</v>
      </c>
      <c r="G8" s="11">
        <f>F8*(1+$B$38)</f>
        <v>158.76000000000002</v>
      </c>
    </row>
    <row r="9" spans="1:7" ht="14.25" customHeight="1">
      <c r="A9" s="51" t="s">
        <v>101</v>
      </c>
      <c r="B9" s="19">
        <v>178.4</v>
      </c>
      <c r="C9" s="19">
        <v>191.5</v>
      </c>
      <c r="D9" s="19">
        <v>82.2</v>
      </c>
      <c r="E9" s="19">
        <f>D9*$B$36</f>
        <v>164.4</v>
      </c>
      <c r="F9" s="19">
        <f>E9*(1+$B$37)</f>
        <v>172.62</v>
      </c>
      <c r="G9" s="19">
        <f>F9*(1+$B$38)</f>
        <v>181.251</v>
      </c>
    </row>
    <row r="10" spans="1:7" ht="14.25" customHeight="1">
      <c r="A10" s="52" t="s">
        <v>102</v>
      </c>
      <c r="B10" s="21">
        <f t="shared" ref="B10:G10" si="0">B9/B6</f>
        <v>0.23647932131495231</v>
      </c>
      <c r="C10" s="21">
        <f t="shared" si="0"/>
        <v>0.24636562459796735</v>
      </c>
      <c r="D10" s="21">
        <f t="shared" si="0"/>
        <v>0.22385620915032681</v>
      </c>
      <c r="E10" s="21">
        <f t="shared" si="0"/>
        <v>0.22385620915032681</v>
      </c>
      <c r="F10" s="21">
        <f t="shared" si="0"/>
        <v>0.22385620915032681</v>
      </c>
      <c r="G10" s="21">
        <f t="shared" si="0"/>
        <v>0.22385620915032678</v>
      </c>
    </row>
    <row r="11" spans="1:7" ht="14.25" customHeight="1">
      <c r="A11" s="1" t="s">
        <v>103</v>
      </c>
      <c r="B11" s="9">
        <v>14.3</v>
      </c>
      <c r="C11" s="9">
        <v>15.3</v>
      </c>
      <c r="D11" s="9">
        <v>7.1</v>
      </c>
      <c r="E11" s="11">
        <f>D11*$B$36</f>
        <v>14.2</v>
      </c>
      <c r="F11" s="11">
        <f>E11*(1+$B$37)</f>
        <v>14.91</v>
      </c>
      <c r="G11" s="11">
        <f>F11*(1+$B$38)</f>
        <v>15.6555</v>
      </c>
    </row>
    <row r="12" spans="1:7" ht="14.25" customHeight="1">
      <c r="A12" s="1" t="s">
        <v>104</v>
      </c>
      <c r="B12" s="9">
        <v>2.6</v>
      </c>
      <c r="C12" s="9">
        <v>3</v>
      </c>
      <c r="D12" s="9">
        <v>1.6</v>
      </c>
      <c r="E12" s="11">
        <f>D12*$B$36</f>
        <v>3.2</v>
      </c>
      <c r="F12" s="11">
        <f>E12*(1+$B$37)</f>
        <v>3.3600000000000003</v>
      </c>
      <c r="G12" s="11">
        <f>F12*(1+$B$38)</f>
        <v>3.5280000000000005</v>
      </c>
    </row>
    <row r="13" spans="1:7" ht="14.25" customHeight="1">
      <c r="A13" s="51" t="s">
        <v>105</v>
      </c>
      <c r="B13" s="19">
        <f t="shared" ref="B13:G13" si="1">SUM(B9,B11:B12)</f>
        <v>195.3</v>
      </c>
      <c r="C13" s="19">
        <f t="shared" si="1"/>
        <v>209.8</v>
      </c>
      <c r="D13" s="19">
        <f t="shared" si="1"/>
        <v>90.899999999999991</v>
      </c>
      <c r="E13" s="19">
        <f t="shared" si="1"/>
        <v>181.79999999999998</v>
      </c>
      <c r="F13" s="19">
        <f t="shared" si="1"/>
        <v>190.89000000000001</v>
      </c>
      <c r="G13" s="19">
        <f t="shared" si="1"/>
        <v>200.43449999999999</v>
      </c>
    </row>
    <row r="14" spans="1:7" ht="14.25" customHeight="1">
      <c r="A14" s="1" t="s">
        <v>106</v>
      </c>
      <c r="B14" s="9">
        <v>140.5</v>
      </c>
      <c r="C14" s="9">
        <v>157.9</v>
      </c>
      <c r="D14" s="9">
        <v>71.400000000000006</v>
      </c>
      <c r="E14" s="11">
        <f>D14*$B$36</f>
        <v>142.80000000000001</v>
      </c>
      <c r="F14" s="11">
        <f>E14*(1+$B$37)</f>
        <v>149.94000000000003</v>
      </c>
      <c r="G14" s="11">
        <f>F14*(1+$B$38)</f>
        <v>157.43700000000004</v>
      </c>
    </row>
    <row r="15" spans="1:7" ht="14.25" customHeight="1">
      <c r="A15" s="1" t="s">
        <v>69</v>
      </c>
      <c r="B15" s="9">
        <v>4.5999999999999996</v>
      </c>
      <c r="C15" s="9">
        <v>0.8</v>
      </c>
      <c r="D15" s="9">
        <v>-0.6</v>
      </c>
      <c r="E15" s="11">
        <f>D15*$B$36</f>
        <v>-1.2</v>
      </c>
      <c r="F15" s="11">
        <f>E15</f>
        <v>-1.2</v>
      </c>
      <c r="G15" s="11">
        <f>F15</f>
        <v>-1.2</v>
      </c>
    </row>
    <row r="16" spans="1:7" ht="14.25" customHeight="1">
      <c r="A16" s="1" t="s">
        <v>70</v>
      </c>
      <c r="B16" s="9">
        <v>-35.700000000000003</v>
      </c>
      <c r="C16" s="9">
        <v>-41</v>
      </c>
      <c r="D16" s="9">
        <v>-16.399999999999999</v>
      </c>
      <c r="E16" s="11">
        <f>D16*$B$36</f>
        <v>-32.799999999999997</v>
      </c>
      <c r="F16" s="11">
        <f>E16*(1+$B$37)</f>
        <v>-34.44</v>
      </c>
      <c r="G16" s="11">
        <f>F16*(1+$B$38)</f>
        <v>-36.161999999999999</v>
      </c>
    </row>
    <row r="17" spans="1:7" ht="14.25" customHeight="1">
      <c r="A17" s="1" t="s">
        <v>71</v>
      </c>
      <c r="B17" s="4">
        <f t="shared" ref="B17:G17" si="2">-B16/B14</f>
        <v>0.25409252669039151</v>
      </c>
      <c r="C17" s="4">
        <f t="shared" si="2"/>
        <v>0.25965801139962003</v>
      </c>
      <c r="D17" s="4">
        <f t="shared" si="2"/>
        <v>0.22969187675070024</v>
      </c>
      <c r="E17" s="4">
        <f t="shared" si="2"/>
        <v>0.22969187675070024</v>
      </c>
      <c r="F17" s="4">
        <f t="shared" si="2"/>
        <v>0.22969187675070021</v>
      </c>
      <c r="G17" s="4">
        <f t="shared" si="2"/>
        <v>0.22969187675070021</v>
      </c>
    </row>
    <row r="18" spans="1:7" ht="14.25" customHeight="1">
      <c r="A18" s="51" t="s">
        <v>107</v>
      </c>
      <c r="B18" s="19">
        <v>103.6</v>
      </c>
      <c r="C18" s="19">
        <v>115.4</v>
      </c>
      <c r="D18" s="19">
        <v>54.7</v>
      </c>
      <c r="E18" s="19">
        <f>D18*$B$36</f>
        <v>109.4</v>
      </c>
      <c r="F18" s="19">
        <f>E18*(1+$B$37)</f>
        <v>114.87</v>
      </c>
      <c r="G18" s="19">
        <f>F18*(1+$B$38)</f>
        <v>120.61350000000002</v>
      </c>
    </row>
    <row r="19" spans="1:7" ht="14.25" customHeight="1">
      <c r="A19" s="52" t="s">
        <v>73</v>
      </c>
      <c r="B19" s="17">
        <v>857</v>
      </c>
      <c r="C19" s="17">
        <v>839.5</v>
      </c>
      <c r="D19" s="17">
        <v>822</v>
      </c>
      <c r="E19" s="17">
        <f>D19</f>
        <v>822</v>
      </c>
      <c r="F19" s="17">
        <f>E19</f>
        <v>822</v>
      </c>
      <c r="G19" s="17">
        <f>F19</f>
        <v>822</v>
      </c>
    </row>
    <row r="20" spans="1:7" ht="14.25" customHeight="1">
      <c r="A20" s="52" t="s">
        <v>74</v>
      </c>
      <c r="B20" s="22">
        <v>12.1</v>
      </c>
      <c r="C20" s="22">
        <v>13.7</v>
      </c>
      <c r="D20" s="22">
        <v>6.7</v>
      </c>
      <c r="E20" s="22">
        <f>E18/E19*100</f>
        <v>13.309002433090026</v>
      </c>
      <c r="F20" s="22">
        <f>F18/F19*100</f>
        <v>13.974452554744527</v>
      </c>
      <c r="G20" s="22">
        <f>G18/G19*100</f>
        <v>14.673175182481755</v>
      </c>
    </row>
    <row r="21" spans="1:7" ht="14.25" customHeight="1">
      <c r="A21" s="1" t="s">
        <v>108</v>
      </c>
      <c r="B21" s="9">
        <v>135.6</v>
      </c>
      <c r="C21" s="9">
        <v>142.19999999999999</v>
      </c>
      <c r="D21" s="9">
        <v>60.7</v>
      </c>
      <c r="E21" s="11">
        <f>D21*$B$36</f>
        <v>121.4</v>
      </c>
      <c r="F21" s="11">
        <f>E21*(1+$B$37)</f>
        <v>127.47000000000001</v>
      </c>
      <c r="G21" s="11">
        <f>F21*(1+$B$38)</f>
        <v>133.84350000000001</v>
      </c>
    </row>
    <row r="22" spans="1:7" ht="14.25" customHeight="1">
      <c r="A22" s="1" t="s">
        <v>109</v>
      </c>
      <c r="B22" s="2">
        <v>15.8</v>
      </c>
      <c r="C22" s="2">
        <v>16.899999999999999</v>
      </c>
      <c r="D22" s="2">
        <v>7.4</v>
      </c>
      <c r="E22" s="3">
        <f>E21/E19*100</f>
        <v>14.768856447688567</v>
      </c>
      <c r="F22" s="3">
        <f>F21/F19*100</f>
        <v>15.507299270072995</v>
      </c>
      <c r="G22" s="3">
        <f>G21/G19*100</f>
        <v>16.282664233576643</v>
      </c>
    </row>
    <row r="23" spans="1:7" ht="14.25" customHeight="1">
      <c r="A23" s="1"/>
      <c r="B23" s="53"/>
      <c r="C23" s="53"/>
      <c r="D23" s="53"/>
      <c r="E23" s="53"/>
      <c r="F23" s="53"/>
      <c r="G23" s="53"/>
    </row>
    <row r="24" spans="1:7" ht="14.25" customHeight="1">
      <c r="A24" s="49"/>
      <c r="B24" s="53"/>
      <c r="C24" s="53"/>
      <c r="D24" s="53"/>
      <c r="E24" s="53"/>
      <c r="F24" s="53"/>
      <c r="G24" s="53"/>
    </row>
    <row r="25" spans="1:7" ht="14.25" customHeight="1">
      <c r="A25" s="49"/>
      <c r="B25" s="53"/>
      <c r="C25" s="53"/>
      <c r="D25" s="53"/>
      <c r="E25" s="53"/>
      <c r="F25" s="53"/>
      <c r="G25" s="53"/>
    </row>
    <row r="26" spans="1:7" ht="14.25" customHeight="1">
      <c r="A26" s="109" t="s">
        <v>110</v>
      </c>
      <c r="B26" s="117"/>
      <c r="C26" s="117"/>
      <c r="D26" s="117"/>
      <c r="E26" s="117"/>
      <c r="F26" s="117"/>
      <c r="G26" s="117"/>
    </row>
    <row r="27" spans="1:7" ht="14.25" customHeight="1">
      <c r="A27" s="1" t="s">
        <v>111</v>
      </c>
      <c r="B27" s="9">
        <v>150</v>
      </c>
      <c r="C27" s="9">
        <v>110</v>
      </c>
      <c r="D27" s="9">
        <v>70</v>
      </c>
      <c r="E27" s="56"/>
      <c r="F27" s="56"/>
      <c r="G27" s="56"/>
    </row>
    <row r="28" spans="1:7" ht="14.25" customHeight="1">
      <c r="A28" s="1" t="s">
        <v>112</v>
      </c>
      <c r="B28" s="9">
        <v>24.7</v>
      </c>
      <c r="C28" s="9">
        <v>44.7</v>
      </c>
      <c r="D28" s="9">
        <v>44.7</v>
      </c>
      <c r="E28" s="56"/>
      <c r="F28" s="56"/>
      <c r="G28" s="56"/>
    </row>
    <row r="29" spans="1:7" ht="14.25" customHeight="1">
      <c r="A29" s="1" t="s">
        <v>113</v>
      </c>
      <c r="B29" s="9"/>
      <c r="C29" s="9">
        <v>22.7</v>
      </c>
      <c r="D29" s="9">
        <v>22.7</v>
      </c>
      <c r="E29" s="56"/>
      <c r="F29" s="56"/>
      <c r="G29" s="56"/>
    </row>
    <row r="30" spans="1:7" ht="14.25" customHeight="1">
      <c r="A30" s="51" t="s">
        <v>114</v>
      </c>
      <c r="B30" s="19">
        <f>B27-B28</f>
        <v>125.3</v>
      </c>
      <c r="C30" s="19">
        <f>C27-C28</f>
        <v>65.3</v>
      </c>
      <c r="D30" s="19">
        <f>D27-D28</f>
        <v>25.299999999999997</v>
      </c>
      <c r="E30" s="19"/>
      <c r="F30" s="19"/>
      <c r="G30" s="19"/>
    </row>
    <row r="31" spans="1:7" ht="14.25" customHeight="1">
      <c r="A31" s="52" t="s">
        <v>115</v>
      </c>
      <c r="B31" s="17">
        <f>B27-B28-B29</f>
        <v>125.3</v>
      </c>
      <c r="C31" s="17">
        <f>C27-C28-C29</f>
        <v>42.599999999999994</v>
      </c>
      <c r="D31" s="17">
        <f>D27-D28-D29</f>
        <v>2.5999999999999979</v>
      </c>
      <c r="E31" s="17"/>
      <c r="F31" s="17"/>
      <c r="G31" s="17"/>
    </row>
    <row r="32" spans="1:7" ht="14.25" customHeight="1">
      <c r="A32" s="49"/>
      <c r="B32" s="53"/>
      <c r="C32" s="53"/>
      <c r="D32" s="53"/>
      <c r="E32" s="53"/>
      <c r="F32" s="53"/>
      <c r="G32" s="53"/>
    </row>
    <row r="33" spans="1:7" ht="14.25" customHeight="1">
      <c r="A33" s="109" t="s">
        <v>83</v>
      </c>
      <c r="B33" s="117"/>
      <c r="C33" s="117"/>
      <c r="D33" s="117"/>
      <c r="E33" s="117"/>
      <c r="F33" s="117"/>
      <c r="G33" s="117"/>
    </row>
    <row r="34" spans="1:7" ht="14.25" customHeight="1">
      <c r="A34" s="1" t="s">
        <v>84</v>
      </c>
      <c r="B34" s="113" t="s">
        <v>85</v>
      </c>
      <c r="C34" s="114"/>
      <c r="D34" s="114"/>
      <c r="E34" s="114"/>
      <c r="F34" s="114"/>
      <c r="G34" s="114"/>
    </row>
    <row r="35" spans="1:7" ht="14.25" customHeight="1">
      <c r="A35" s="1" t="s">
        <v>86</v>
      </c>
      <c r="B35" s="113" t="s">
        <v>116</v>
      </c>
      <c r="C35" s="114"/>
      <c r="D35" s="114"/>
      <c r="E35" s="114"/>
      <c r="F35" s="114"/>
      <c r="G35" s="114"/>
    </row>
    <row r="36" spans="1:7" ht="14.25" customHeight="1">
      <c r="A36" s="1" t="s">
        <v>88</v>
      </c>
      <c r="B36" s="88">
        <v>2</v>
      </c>
      <c r="C36" s="53"/>
      <c r="D36" s="53"/>
      <c r="E36" s="53"/>
      <c r="F36" s="53"/>
      <c r="G36" s="53"/>
    </row>
    <row r="37" spans="1:7" ht="14.25" customHeight="1">
      <c r="A37" s="1" t="s">
        <v>117</v>
      </c>
      <c r="B37" s="89">
        <v>0.05</v>
      </c>
      <c r="C37" s="53"/>
      <c r="D37" s="53"/>
      <c r="E37" s="53"/>
      <c r="F37" s="53"/>
      <c r="G37" s="53"/>
    </row>
    <row r="38" spans="1:7" ht="14.25" customHeight="1">
      <c r="A38" s="1" t="s">
        <v>118</v>
      </c>
      <c r="B38" s="89">
        <v>0.05</v>
      </c>
      <c r="C38" s="53"/>
      <c r="D38" s="53"/>
      <c r="E38" s="53"/>
      <c r="F38" s="53"/>
      <c r="G38" s="53"/>
    </row>
    <row r="39" spans="1:7" ht="14.25" customHeight="1">
      <c r="A39" s="49"/>
      <c r="B39" s="76"/>
      <c r="C39" s="53"/>
      <c r="D39" s="53"/>
      <c r="E39" s="53"/>
      <c r="F39" s="53"/>
      <c r="G39" s="53"/>
    </row>
    <row r="40" spans="1:7" ht="14.25" customHeight="1">
      <c r="A40" s="103" t="s">
        <v>119</v>
      </c>
      <c r="B40" s="115"/>
      <c r="C40" s="115"/>
      <c r="D40" s="115"/>
      <c r="E40" s="115"/>
      <c r="F40" s="115"/>
      <c r="G40" s="115"/>
    </row>
    <row r="41" spans="1:7" ht="14.25" customHeight="1">
      <c r="A41" s="103" t="s">
        <v>94</v>
      </c>
      <c r="B41" s="115"/>
      <c r="C41" s="115"/>
      <c r="D41" s="115"/>
      <c r="E41" s="115"/>
      <c r="F41" s="115"/>
      <c r="G41" s="115"/>
    </row>
    <row r="42" spans="1:7" ht="14.25" customHeight="1">
      <c r="A42" s="107" t="s">
        <v>95</v>
      </c>
      <c r="B42" s="116"/>
      <c r="C42" s="116"/>
      <c r="D42" s="116"/>
      <c r="E42" s="116"/>
      <c r="F42" s="116"/>
      <c r="G42" s="116"/>
    </row>
  </sheetData>
  <mergeCells count="11">
    <mergeCell ref="A1:G1"/>
    <mergeCell ref="A2:G2"/>
    <mergeCell ref="A4:G4"/>
    <mergeCell ref="A26:G26"/>
    <mergeCell ref="A33:G33"/>
    <mergeCell ref="A3:G3"/>
    <mergeCell ref="B34:G34"/>
    <mergeCell ref="B35:G35"/>
    <mergeCell ref="A40:G40"/>
    <mergeCell ref="A41:G41"/>
    <mergeCell ref="A42:G4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9"/>
  <sheetViews>
    <sheetView showGridLines="0" topLeftCell="B90" zoomScale="35" zoomScaleNormal="100" workbookViewId="0">
      <selection activeCell="F61" sqref="F61"/>
    </sheetView>
  </sheetViews>
  <sheetFormatPr defaultRowHeight="14.25"/>
  <cols>
    <col min="1" max="1" width="47" bestFit="1" customWidth="1"/>
    <col min="2" max="2" width="47.875" customWidth="1"/>
    <col min="3" max="3" width="40.375" customWidth="1"/>
    <col min="4" max="4" width="77.75" customWidth="1"/>
    <col min="5" max="8" width="3" customWidth="1"/>
  </cols>
  <sheetData>
    <row r="1" spans="1:4" ht="18" customHeight="1">
      <c r="A1" s="105" t="s">
        <v>120</v>
      </c>
      <c r="B1" s="105"/>
      <c r="C1" s="105"/>
      <c r="D1" s="105"/>
    </row>
    <row r="2" spans="1:4" ht="14.25" customHeight="1">
      <c r="A2" s="106" t="s">
        <v>121</v>
      </c>
      <c r="B2" s="106"/>
      <c r="C2" s="106"/>
      <c r="D2" s="106"/>
    </row>
    <row r="3" spans="1:4" ht="14.25" customHeight="1">
      <c r="A3" s="107" t="s">
        <v>122</v>
      </c>
      <c r="B3" s="107"/>
      <c r="C3" s="107"/>
      <c r="D3" s="107"/>
    </row>
    <row r="4" spans="1:4" ht="14.25" customHeight="1">
      <c r="A4" s="108" t="s">
        <v>123</v>
      </c>
      <c r="B4" s="108"/>
      <c r="C4" s="108"/>
      <c r="D4" s="108"/>
    </row>
    <row r="5" spans="1:4" ht="14.25" customHeight="1">
      <c r="A5" s="1" t="s">
        <v>124</v>
      </c>
      <c r="B5" s="23">
        <v>5.03</v>
      </c>
      <c r="C5" s="53"/>
      <c r="D5" s="49"/>
    </row>
    <row r="6" spans="1:4" ht="14.25" customHeight="1">
      <c r="A6" s="1" t="s">
        <v>125</v>
      </c>
      <c r="B6" s="23">
        <v>0.03</v>
      </c>
      <c r="C6" s="53"/>
      <c r="D6" s="49"/>
    </row>
    <row r="7" spans="1:4" ht="14.25" customHeight="1">
      <c r="A7" s="1" t="s">
        <v>126</v>
      </c>
      <c r="B7" s="23">
        <v>2.9079999999999999</v>
      </c>
      <c r="C7" s="53"/>
      <c r="D7" s="49"/>
    </row>
    <row r="8" spans="1:4" ht="14.25" customHeight="1">
      <c r="A8" s="1" t="s">
        <v>127</v>
      </c>
      <c r="B8" s="23">
        <v>3.0920000000000001</v>
      </c>
      <c r="C8" s="53"/>
      <c r="D8" s="49"/>
    </row>
    <row r="9" spans="1:4" ht="14.25" customHeight="1">
      <c r="A9" s="1" t="s">
        <v>128</v>
      </c>
      <c r="B9" s="24">
        <v>822.25446399999998</v>
      </c>
      <c r="C9" s="53"/>
      <c r="D9" s="49"/>
    </row>
    <row r="10" spans="1:4" ht="14.25" customHeight="1">
      <c r="A10" s="1" t="s">
        <v>37</v>
      </c>
      <c r="B10" s="25">
        <v>1.3475699999999999</v>
      </c>
      <c r="C10" s="53"/>
      <c r="D10" s="49"/>
    </row>
    <row r="11" spans="1:4" ht="14.25" customHeight="1">
      <c r="A11" s="1" t="s">
        <v>129</v>
      </c>
      <c r="B11" s="9">
        <v>25</v>
      </c>
      <c r="C11" s="53"/>
      <c r="D11" s="49"/>
    </row>
    <row r="12" spans="1:4" ht="14.25" customHeight="1">
      <c r="A12" s="1" t="s">
        <v>130</v>
      </c>
      <c r="B12" s="9">
        <v>70</v>
      </c>
      <c r="C12" s="53"/>
      <c r="D12" s="49"/>
    </row>
    <row r="13" spans="1:4" ht="14.25" customHeight="1">
      <c r="A13" s="1" t="s">
        <v>131</v>
      </c>
      <c r="B13" s="9">
        <v>44.7</v>
      </c>
      <c r="C13" s="53"/>
      <c r="D13" s="49"/>
    </row>
    <row r="14" spans="1:4" ht="14.25" customHeight="1">
      <c r="A14" s="1" t="s">
        <v>132</v>
      </c>
      <c r="B14" s="9">
        <v>22.7</v>
      </c>
      <c r="C14" s="53"/>
      <c r="D14" s="49"/>
    </row>
    <row r="15" spans="1:4" ht="14.25" customHeight="1">
      <c r="A15" s="1" t="s">
        <v>133</v>
      </c>
      <c r="B15" s="9">
        <v>0.6</v>
      </c>
      <c r="C15" s="53"/>
      <c r="D15" s="49"/>
    </row>
    <row r="16" spans="1:4" ht="14.25" customHeight="1">
      <c r="A16" s="1" t="s">
        <v>134</v>
      </c>
      <c r="B16" s="9">
        <v>57</v>
      </c>
      <c r="C16" s="53"/>
      <c r="D16" s="49"/>
    </row>
    <row r="17" spans="1:4" ht="14.25" customHeight="1">
      <c r="A17" s="1" t="s">
        <v>135</v>
      </c>
      <c r="B17" s="9">
        <v>2</v>
      </c>
      <c r="C17" s="53"/>
      <c r="D17" s="49"/>
    </row>
    <row r="18" spans="1:4" ht="14.25" customHeight="1">
      <c r="A18" s="49"/>
      <c r="B18" s="53"/>
      <c r="C18" s="53"/>
      <c r="D18" s="49"/>
    </row>
    <row r="19" spans="1:4" ht="14.25" customHeight="1">
      <c r="A19" s="49"/>
      <c r="B19" s="53"/>
      <c r="C19" s="53"/>
      <c r="D19" s="49"/>
    </row>
    <row r="20" spans="1:4" ht="14.25" customHeight="1">
      <c r="A20" s="109" t="s">
        <v>136</v>
      </c>
      <c r="B20" s="117"/>
      <c r="C20" s="117"/>
      <c r="D20" s="109"/>
    </row>
    <row r="21" spans="1:4" ht="14.25" customHeight="1">
      <c r="A21" s="1" t="s">
        <v>137</v>
      </c>
      <c r="B21" s="29">
        <v>4800</v>
      </c>
      <c r="C21" s="53"/>
      <c r="D21" s="49"/>
    </row>
    <row r="22" spans="1:4" ht="14.25" customHeight="1">
      <c r="A22" s="1" t="s">
        <v>138</v>
      </c>
      <c r="B22" s="29">
        <v>500</v>
      </c>
      <c r="C22" s="53"/>
      <c r="D22" s="49"/>
    </row>
    <row r="23" spans="1:4" ht="14.25" customHeight="1">
      <c r="A23" s="1" t="s">
        <v>139</v>
      </c>
      <c r="B23" s="10">
        <f>MAX(B76-B21-B22,0)</f>
        <v>358.70498270397457</v>
      </c>
      <c r="C23" s="53"/>
      <c r="D23" s="49"/>
    </row>
    <row r="24" spans="1:4" ht="14.25" customHeight="1">
      <c r="A24" s="1" t="s">
        <v>140</v>
      </c>
      <c r="B24" s="13">
        <v>4.4999999999999998E-2</v>
      </c>
      <c r="C24" s="53"/>
      <c r="D24" s="49"/>
    </row>
    <row r="25" spans="1:4" ht="14.25" customHeight="1">
      <c r="A25" s="1" t="s">
        <v>141</v>
      </c>
      <c r="B25" s="13">
        <v>3.5000000000000003E-2</v>
      </c>
      <c r="C25" s="53"/>
      <c r="D25" s="49"/>
    </row>
    <row r="26" spans="1:4" ht="14.25" customHeight="1">
      <c r="A26" s="1" t="s">
        <v>92</v>
      </c>
      <c r="B26" s="7">
        <f>'ABB Financials'!$D$13</f>
        <v>0.25841381328650864</v>
      </c>
      <c r="C26" s="53"/>
      <c r="D26" s="49"/>
    </row>
    <row r="27" spans="1:4" ht="14.25" customHeight="1">
      <c r="A27" s="1" t="s">
        <v>142</v>
      </c>
      <c r="B27" s="26">
        <v>14</v>
      </c>
      <c r="C27" s="53"/>
      <c r="D27" s="49"/>
    </row>
    <row r="28" spans="1:4" ht="14.25" customHeight="1">
      <c r="A28" s="1" t="s">
        <v>143</v>
      </c>
      <c r="B28" s="26">
        <v>15</v>
      </c>
      <c r="C28" s="53"/>
      <c r="D28" s="49"/>
    </row>
    <row r="29" spans="1:4" ht="14.25" customHeight="1">
      <c r="A29" s="1" t="s">
        <v>144</v>
      </c>
      <c r="B29" s="26">
        <v>16</v>
      </c>
      <c r="C29" s="53"/>
      <c r="D29" s="49"/>
    </row>
    <row r="30" spans="1:4" ht="14.25" customHeight="1">
      <c r="A30" s="1" t="s">
        <v>145</v>
      </c>
      <c r="B30" s="13">
        <v>0</v>
      </c>
      <c r="C30" s="53"/>
      <c r="D30" s="49"/>
    </row>
    <row r="31" spans="1:4" ht="14.25" customHeight="1">
      <c r="A31" s="1" t="s">
        <v>146</v>
      </c>
      <c r="B31" s="13">
        <v>1</v>
      </c>
      <c r="C31" s="53"/>
      <c r="D31" s="49"/>
    </row>
    <row r="32" spans="1:4" ht="14.25" customHeight="1">
      <c r="A32" s="49"/>
      <c r="B32" s="53"/>
      <c r="C32" s="53"/>
      <c r="D32" s="49"/>
    </row>
    <row r="33" spans="1:4" ht="14.25" customHeight="1">
      <c r="A33" s="49"/>
      <c r="B33" s="53"/>
      <c r="C33" s="53"/>
      <c r="D33" s="49"/>
    </row>
    <row r="34" spans="1:4" ht="14.25" customHeight="1">
      <c r="A34" s="109" t="s">
        <v>147</v>
      </c>
      <c r="B34" s="117"/>
      <c r="C34" s="117"/>
      <c r="D34" s="109"/>
    </row>
    <row r="35" spans="1:4" ht="14.25" customHeight="1">
      <c r="A35" s="1" t="s">
        <v>148</v>
      </c>
      <c r="B35" s="30">
        <f>B5</f>
        <v>5.03</v>
      </c>
      <c r="C35" s="31">
        <f>B35*B10</f>
        <v>6.7782771000000004</v>
      </c>
      <c r="D35" s="50"/>
    </row>
    <row r="36" spans="1:4" ht="14.25" customHeight="1">
      <c r="A36" s="1" t="s">
        <v>33</v>
      </c>
      <c r="B36" s="32">
        <f>B9</f>
        <v>822.25446399999998</v>
      </c>
      <c r="C36" s="32">
        <f>B36</f>
        <v>822.25446399999998</v>
      </c>
      <c r="D36" s="50"/>
    </row>
    <row r="37" spans="1:4" ht="14.25" customHeight="1">
      <c r="A37" s="51" t="s">
        <v>149</v>
      </c>
      <c r="B37" s="40">
        <f>B35*B36</f>
        <v>4135.9399539200003</v>
      </c>
      <c r="C37" s="41">
        <f>B37*B10</f>
        <v>5573.4686037039746</v>
      </c>
      <c r="D37" s="50"/>
    </row>
    <row r="38" spans="1:4" ht="14.25" customHeight="1">
      <c r="A38" s="1" t="s">
        <v>150</v>
      </c>
      <c r="B38" s="33">
        <f>B13</f>
        <v>44.7</v>
      </c>
      <c r="C38" s="34">
        <f>B38*B10</f>
        <v>60.236378999999999</v>
      </c>
      <c r="D38" s="50"/>
    </row>
    <row r="39" spans="1:4" ht="14.25" customHeight="1">
      <c r="A39" s="1" t="s">
        <v>151</v>
      </c>
      <c r="B39" s="33">
        <f>-B12</f>
        <v>-70</v>
      </c>
      <c r="C39" s="34">
        <f>B39*B10</f>
        <v>-94.329899999999995</v>
      </c>
      <c r="D39" s="50"/>
    </row>
    <row r="40" spans="1:4" ht="14.25" customHeight="1">
      <c r="A40" s="1" t="s">
        <v>152</v>
      </c>
      <c r="B40" s="33">
        <f>B14</f>
        <v>22.7</v>
      </c>
      <c r="C40" s="34">
        <f>B40*B10</f>
        <v>30.589838999999998</v>
      </c>
      <c r="D40" s="50"/>
    </row>
    <row r="41" spans="1:4" ht="14.25" customHeight="1">
      <c r="A41" s="1" t="s">
        <v>153</v>
      </c>
      <c r="B41" s="33">
        <f>B15</f>
        <v>0.6</v>
      </c>
      <c r="C41" s="34">
        <f>B41*B10</f>
        <v>0.80854199999999998</v>
      </c>
      <c r="D41" s="50"/>
    </row>
    <row r="42" spans="1:4" ht="14.25" customHeight="1">
      <c r="A42" s="51" t="s">
        <v>154</v>
      </c>
      <c r="B42" s="40">
        <f>SUM(B37:B41)</f>
        <v>4133.9399539200003</v>
      </c>
      <c r="C42" s="41">
        <f>SUM(C37:C41)</f>
        <v>5570.7734637039748</v>
      </c>
      <c r="D42" s="50"/>
    </row>
    <row r="43" spans="1:4" ht="14.25" customHeight="1">
      <c r="A43" s="1"/>
      <c r="B43" s="33"/>
      <c r="C43" s="34"/>
      <c r="D43" s="50"/>
    </row>
    <row r="44" spans="1:4" ht="14.25" customHeight="1">
      <c r="A44" s="1" t="s">
        <v>155</v>
      </c>
      <c r="B44" s="33">
        <f>B37</f>
        <v>4135.9399539200003</v>
      </c>
      <c r="C44" s="34">
        <f>B44*B10</f>
        <v>5573.4686037039746</v>
      </c>
      <c r="D44" s="50"/>
    </row>
    <row r="45" spans="1:4" ht="14.25" customHeight="1">
      <c r="A45" s="1" t="s">
        <v>156</v>
      </c>
      <c r="B45" s="33">
        <f>-B16</f>
        <v>-57</v>
      </c>
      <c r="C45" s="34">
        <f>B45*B10</f>
        <v>-76.811489999999992</v>
      </c>
      <c r="D45" s="50"/>
    </row>
    <row r="46" spans="1:4" ht="14.25" customHeight="1">
      <c r="A46" s="1" t="s">
        <v>157</v>
      </c>
      <c r="B46" s="33">
        <f>B17</f>
        <v>2</v>
      </c>
      <c r="C46" s="34">
        <f>B46*B10</f>
        <v>2.6951399999999999</v>
      </c>
      <c r="D46" s="50"/>
    </row>
    <row r="47" spans="1:4" ht="14.25" customHeight="1">
      <c r="A47" s="1" t="s">
        <v>158</v>
      </c>
      <c r="B47" s="33">
        <f>SUM(B44:B46)</f>
        <v>4080.9399539200003</v>
      </c>
      <c r="C47" s="34">
        <f>SUM(C44:C46)</f>
        <v>5499.3522537039744</v>
      </c>
      <c r="D47" s="50"/>
    </row>
    <row r="48" spans="1:4" ht="14.25" customHeight="1">
      <c r="A48" s="51" t="s">
        <v>159</v>
      </c>
      <c r="B48" s="40">
        <f>4084</f>
        <v>4084</v>
      </c>
      <c r="C48" s="41">
        <f>B48*B10</f>
        <v>5503.47588</v>
      </c>
      <c r="D48" s="50"/>
    </row>
    <row r="49" spans="1:4" ht="14.25" customHeight="1">
      <c r="A49" s="52"/>
      <c r="B49" s="38"/>
      <c r="C49" s="39"/>
      <c r="D49" s="50"/>
    </row>
    <row r="50" spans="1:4" ht="14.25" customHeight="1">
      <c r="A50" s="49"/>
      <c r="B50" s="53"/>
      <c r="C50" s="53"/>
      <c r="D50" s="50"/>
    </row>
    <row r="51" spans="1:4" ht="14.25" customHeight="1">
      <c r="A51" s="109" t="s">
        <v>160</v>
      </c>
      <c r="B51" s="117"/>
      <c r="C51" s="117"/>
      <c r="D51" s="110"/>
    </row>
    <row r="52" spans="1:4" ht="14.25" customHeight="1">
      <c r="A52" s="1" t="s">
        <v>161</v>
      </c>
      <c r="B52" s="14">
        <f>'Rotork Financials'!$C$6</f>
        <v>777.3</v>
      </c>
      <c r="C52" s="5">
        <f>B52*B10</f>
        <v>1047.4661609999998</v>
      </c>
      <c r="D52" s="50"/>
    </row>
    <row r="53" spans="1:4" ht="14.25" customHeight="1">
      <c r="A53" s="51" t="s">
        <v>162</v>
      </c>
      <c r="B53" s="19">
        <f>'Rotork Financials'!$C$13</f>
        <v>209.8</v>
      </c>
      <c r="C53" s="16">
        <f>B53*B10</f>
        <v>282.72018600000001</v>
      </c>
      <c r="D53" s="50"/>
    </row>
    <row r="54" spans="1:4" ht="14.25" customHeight="1">
      <c r="A54" s="1" t="s">
        <v>7</v>
      </c>
      <c r="B54" s="12">
        <f>B48/B52</f>
        <v>5.2540846520005147</v>
      </c>
      <c r="C54" s="12">
        <f>C48/C52</f>
        <v>5.2540846520005156</v>
      </c>
      <c r="D54" s="50"/>
    </row>
    <row r="55" spans="1:4" ht="14.25" customHeight="1">
      <c r="A55" s="1" t="s">
        <v>10</v>
      </c>
      <c r="B55" s="12">
        <f>B48/B53</f>
        <v>19.46615824594852</v>
      </c>
      <c r="C55" s="12">
        <f>C48/C53</f>
        <v>19.46615824594852</v>
      </c>
      <c r="D55" s="50"/>
    </row>
    <row r="56" spans="1:4" ht="14.25" customHeight="1">
      <c r="A56" s="1" t="s">
        <v>12</v>
      </c>
      <c r="B56" s="12">
        <f>B47/B52</f>
        <v>5.2501478887430855</v>
      </c>
      <c r="C56" s="12">
        <f>C47/C52</f>
        <v>5.2501478887430855</v>
      </c>
      <c r="D56" s="50"/>
    </row>
    <row r="57" spans="1:4" ht="14.25" customHeight="1">
      <c r="A57" s="1" t="s">
        <v>15</v>
      </c>
      <c r="B57" s="12">
        <f>B47/B53</f>
        <v>19.451572706959009</v>
      </c>
      <c r="C57" s="12">
        <f>C47/C53</f>
        <v>19.451572706959009</v>
      </c>
      <c r="D57" s="50"/>
    </row>
    <row r="58" spans="1:4" ht="14.25" customHeight="1">
      <c r="A58" s="1" t="s">
        <v>18</v>
      </c>
      <c r="B58" s="12">
        <f>B57</f>
        <v>19.451572706959009</v>
      </c>
      <c r="C58" s="12">
        <f>C57</f>
        <v>19.451572706959009</v>
      </c>
      <c r="D58" s="50"/>
    </row>
    <row r="59" spans="1:4" ht="14.25" customHeight="1">
      <c r="A59" s="1" t="s">
        <v>163</v>
      </c>
      <c r="B59" s="35">
        <f>B27</f>
        <v>14</v>
      </c>
      <c r="C59" s="35">
        <f>B27</f>
        <v>14</v>
      </c>
      <c r="D59" s="50"/>
    </row>
    <row r="60" spans="1:4" ht="14.25" customHeight="1">
      <c r="A60" s="1" t="s">
        <v>164</v>
      </c>
      <c r="B60" s="35">
        <f>B28</f>
        <v>15</v>
      </c>
      <c r="C60" s="35">
        <f>B28</f>
        <v>15</v>
      </c>
      <c r="D60" s="50"/>
    </row>
    <row r="61" spans="1:4" ht="14.25" customHeight="1">
      <c r="A61" s="1" t="s">
        <v>165</v>
      </c>
      <c r="B61" s="35">
        <f>B29</f>
        <v>16</v>
      </c>
      <c r="C61" s="35">
        <f>B29</f>
        <v>16</v>
      </c>
      <c r="D61" s="50"/>
    </row>
    <row r="62" spans="1:4" ht="14.25" customHeight="1">
      <c r="A62" s="1" t="s">
        <v>166</v>
      </c>
      <c r="B62" s="36">
        <f>B48/B59</f>
        <v>291.71428571428572</v>
      </c>
      <c r="C62" s="37">
        <f>C48/C59</f>
        <v>393.10541999999998</v>
      </c>
      <c r="D62" s="50"/>
    </row>
    <row r="63" spans="1:4" ht="14.25" customHeight="1">
      <c r="A63" s="1" t="s">
        <v>167</v>
      </c>
      <c r="B63" s="36">
        <f>B48/B60</f>
        <v>272.26666666666665</v>
      </c>
      <c r="C63" s="37">
        <f>C48/C60</f>
        <v>366.898392</v>
      </c>
      <c r="D63" s="50"/>
    </row>
    <row r="64" spans="1:4" ht="14.25" customHeight="1">
      <c r="A64" s="1" t="s">
        <v>168</v>
      </c>
      <c r="B64" s="36">
        <f>B48/B61</f>
        <v>255.25</v>
      </c>
      <c r="C64" s="37">
        <f>C48/C61</f>
        <v>343.9672425</v>
      </c>
      <c r="D64" s="50"/>
    </row>
    <row r="65" spans="1:4" ht="14.25" customHeight="1">
      <c r="A65" s="1" t="s">
        <v>169</v>
      </c>
      <c r="B65" s="36">
        <f>B62-B53</f>
        <v>81.914285714285711</v>
      </c>
      <c r="C65" s="37">
        <f>C62-C53</f>
        <v>110.38523399999997</v>
      </c>
      <c r="D65" s="50"/>
    </row>
    <row r="66" spans="1:4" ht="14.25" customHeight="1">
      <c r="A66" s="1" t="s">
        <v>25</v>
      </c>
      <c r="B66" s="36">
        <f>B63-B53</f>
        <v>62.46666666666664</v>
      </c>
      <c r="C66" s="37">
        <f>C63-C53</f>
        <v>84.178205999999989</v>
      </c>
      <c r="D66" s="50"/>
    </row>
    <row r="67" spans="1:4" ht="14.25" customHeight="1">
      <c r="A67" s="1" t="s">
        <v>170</v>
      </c>
      <c r="B67" s="36">
        <f>B64-B53</f>
        <v>45.449999999999989</v>
      </c>
      <c r="C67" s="37">
        <f>C64-C53</f>
        <v>61.247056499999985</v>
      </c>
      <c r="D67" s="50"/>
    </row>
    <row r="68" spans="1:4" ht="14.25" customHeight="1">
      <c r="A68" s="1" t="s">
        <v>171</v>
      </c>
      <c r="B68" s="37"/>
      <c r="C68" s="37">
        <f>B66*B10</f>
        <v>84.17820599999996</v>
      </c>
      <c r="D68" s="50"/>
    </row>
    <row r="69" spans="1:4" ht="14.25" customHeight="1">
      <c r="A69" s="1" t="s">
        <v>172</v>
      </c>
      <c r="B69" s="113" t="s">
        <v>173</v>
      </c>
      <c r="C69" s="113"/>
      <c r="D69" s="118"/>
    </row>
    <row r="70" spans="1:4" ht="14.25" customHeight="1">
      <c r="A70" s="49"/>
      <c r="B70" s="53"/>
      <c r="C70" s="53"/>
      <c r="D70" s="49"/>
    </row>
    <row r="71" spans="1:4" ht="14.25" customHeight="1">
      <c r="A71" s="49"/>
      <c r="B71" s="53"/>
      <c r="C71" s="53"/>
      <c r="D71" s="49"/>
    </row>
    <row r="72" spans="1:4" ht="14.25" customHeight="1">
      <c r="A72" s="109" t="s">
        <v>174</v>
      </c>
      <c r="B72" s="117"/>
      <c r="C72" s="117"/>
      <c r="D72" s="109"/>
    </row>
    <row r="73" spans="1:4" ht="14.25" customHeight="1">
      <c r="A73" s="1" t="s">
        <v>22</v>
      </c>
      <c r="B73" s="10">
        <f>C37</f>
        <v>5573.4686037039746</v>
      </c>
      <c r="C73" s="53"/>
      <c r="D73" s="49"/>
    </row>
    <row r="74" spans="1:4" ht="14.25" customHeight="1">
      <c r="A74" s="1" t="s">
        <v>175</v>
      </c>
      <c r="B74" s="10">
        <f>B11</f>
        <v>25</v>
      </c>
      <c r="C74" s="53"/>
      <c r="D74" s="49"/>
    </row>
    <row r="75" spans="1:4" ht="14.25" customHeight="1">
      <c r="A75" s="1" t="s">
        <v>176</v>
      </c>
      <c r="B75" s="10">
        <f>C38</f>
        <v>60.236378999999999</v>
      </c>
      <c r="C75" s="53"/>
      <c r="D75" s="49"/>
    </row>
    <row r="76" spans="1:4" ht="14.25" customHeight="1">
      <c r="A76" s="51" t="s">
        <v>177</v>
      </c>
      <c r="B76" s="16">
        <f>SUM(B73:B75)</f>
        <v>5658.7049827039746</v>
      </c>
      <c r="C76" s="53"/>
      <c r="D76" s="49"/>
    </row>
    <row r="77" spans="1:4" ht="14.25" customHeight="1">
      <c r="A77" s="1"/>
      <c r="B77" s="10"/>
      <c r="C77" s="53"/>
      <c r="D77" s="49"/>
    </row>
    <row r="78" spans="1:4" ht="14.25" customHeight="1">
      <c r="A78" s="1" t="s">
        <v>178</v>
      </c>
      <c r="B78" s="10">
        <f>B21</f>
        <v>4800</v>
      </c>
      <c r="C78" s="53"/>
      <c r="D78" s="49"/>
    </row>
    <row r="79" spans="1:4" ht="14.25" customHeight="1">
      <c r="A79" s="1" t="s">
        <v>179</v>
      </c>
      <c r="B79" s="10">
        <f>B22</f>
        <v>500</v>
      </c>
      <c r="C79" s="53"/>
      <c r="D79" s="49"/>
    </row>
    <row r="80" spans="1:4" ht="14.25" customHeight="1">
      <c r="A80" s="1" t="s">
        <v>180</v>
      </c>
      <c r="B80" s="10">
        <f>B23</f>
        <v>358.70498270397457</v>
      </c>
      <c r="C80" s="53"/>
      <c r="D80" s="49"/>
    </row>
    <row r="81" spans="1:4" ht="14.25" customHeight="1">
      <c r="A81" s="52" t="s">
        <v>181</v>
      </c>
      <c r="B81" s="15">
        <f>SUM(B78:B80)</f>
        <v>5658.7049827039746</v>
      </c>
      <c r="C81" s="53"/>
      <c r="D81" s="49"/>
    </row>
    <row r="82" spans="1:4" ht="14.25" customHeight="1">
      <c r="A82" s="51" t="s">
        <v>182</v>
      </c>
      <c r="B82" s="16">
        <f>B81-B76</f>
        <v>0</v>
      </c>
      <c r="C82" s="53"/>
      <c r="D82" s="49"/>
    </row>
    <row r="83" spans="1:4" ht="14.25" customHeight="1">
      <c r="A83" s="1" t="s">
        <v>183</v>
      </c>
      <c r="B83" s="10">
        <f>B80*B24</f>
        <v>16.141724221678857</v>
      </c>
      <c r="C83" s="53"/>
      <c r="D83" s="49"/>
    </row>
    <row r="84" spans="1:4" ht="14.25" customHeight="1">
      <c r="A84" s="1" t="s">
        <v>184</v>
      </c>
      <c r="B84" s="10">
        <f>B79*B25</f>
        <v>17.5</v>
      </c>
      <c r="C84" s="53"/>
      <c r="D84" s="49"/>
    </row>
    <row r="85" spans="1:4" ht="14.25" customHeight="1">
      <c r="A85" s="52" t="s">
        <v>185</v>
      </c>
      <c r="B85" s="15">
        <f>SUM(B83:B84)*(1-B26)</f>
        <v>24.948237980021723</v>
      </c>
      <c r="C85" s="53"/>
      <c r="D85" s="49"/>
    </row>
    <row r="86" spans="1:4" ht="14.25" customHeight="1">
      <c r="A86" s="51" t="s">
        <v>186</v>
      </c>
      <c r="B86" s="16">
        <f>4200*B10</f>
        <v>5659.7939999999999</v>
      </c>
      <c r="C86" s="53"/>
      <c r="D86" s="50" t="s">
        <v>342</v>
      </c>
    </row>
    <row r="87" spans="1:4" ht="14.25" customHeight="1">
      <c r="A87" s="52" t="s">
        <v>187</v>
      </c>
      <c r="B87" s="15">
        <f>B86-B80</f>
        <v>5301.0890172960253</v>
      </c>
      <c r="C87" s="53"/>
      <c r="D87" s="50"/>
    </row>
    <row r="88" spans="1:4" ht="14.25" customHeight="1">
      <c r="A88" s="49"/>
      <c r="B88" s="53"/>
      <c r="C88" s="53"/>
      <c r="D88" s="50"/>
    </row>
    <row r="89" spans="1:4" ht="14.25" customHeight="1">
      <c r="A89" s="49"/>
      <c r="B89" s="53"/>
      <c r="C89" s="53"/>
      <c r="D89" s="50"/>
    </row>
    <row r="90" spans="1:4" ht="14.25" customHeight="1">
      <c r="A90" s="49"/>
      <c r="B90" s="53"/>
      <c r="C90" s="53"/>
      <c r="D90" s="50"/>
    </row>
    <row r="91" spans="1:4" ht="14.25" customHeight="1">
      <c r="A91" s="92" t="s">
        <v>188</v>
      </c>
      <c r="B91" s="94" t="s">
        <v>189</v>
      </c>
      <c r="C91" s="94" t="s">
        <v>190</v>
      </c>
      <c r="D91" s="97" t="s">
        <v>191</v>
      </c>
    </row>
    <row r="92" spans="1:4" ht="14.25" customHeight="1">
      <c r="A92" s="93" t="s">
        <v>192</v>
      </c>
      <c r="B92" s="95" t="str">
        <f>IF(ABS(B37-B5*B9)&lt;0.1,"OK","ERROR")</f>
        <v>OK</v>
      </c>
      <c r="C92" s="96">
        <f>B37-B5*B9</f>
        <v>0</v>
      </c>
      <c r="D92" s="75" t="s">
        <v>193</v>
      </c>
    </row>
    <row r="93" spans="1:4" ht="14.25" customHeight="1">
      <c r="A93" s="1" t="s">
        <v>194</v>
      </c>
      <c r="B93" s="28" t="str">
        <f>IF(ABS(B47-B48)&lt;=5,"OK","ERROR")</f>
        <v>OK</v>
      </c>
      <c r="C93" s="27">
        <f>B47-B48</f>
        <v>-3.0600460799996654</v>
      </c>
      <c r="D93" s="78" t="s">
        <v>195</v>
      </c>
    </row>
    <row r="94" spans="1:4" ht="14.25" customHeight="1">
      <c r="A94" s="1" t="s">
        <v>196</v>
      </c>
      <c r="B94" s="28" t="str">
        <f>IF(ABS(B82)&lt;0.1,"OK","ERROR")</f>
        <v>OK</v>
      </c>
      <c r="C94" s="27">
        <f>B82</f>
        <v>0</v>
      </c>
      <c r="D94" s="78" t="s">
        <v>197</v>
      </c>
    </row>
    <row r="95" spans="1:4" ht="14.25" customHeight="1">
      <c r="A95" s="1" t="s">
        <v>198</v>
      </c>
      <c r="B95" s="28" t="str">
        <f>IF(ABS(B66-(B63-B53))&lt;0.1,"OK","ERROR")</f>
        <v>OK</v>
      </c>
      <c r="C95" s="27">
        <f>B66-(B63-B53)</f>
        <v>0</v>
      </c>
      <c r="D95" s="78" t="s">
        <v>199</v>
      </c>
    </row>
    <row r="96" spans="1:4" ht="14.25" customHeight="1">
      <c r="A96" s="1" t="s">
        <v>200</v>
      </c>
      <c r="B96" s="28" t="str">
        <f>IF(ABS(C57-19.5)&lt;0.2,"OK","ERROR")</f>
        <v>OK</v>
      </c>
      <c r="C96" s="27">
        <f>C57-19.5</f>
        <v>-4.8427293040990804E-2</v>
      </c>
      <c r="D96" s="78" t="s">
        <v>201</v>
      </c>
    </row>
    <row r="97" spans="1:4" ht="14.25" customHeight="1">
      <c r="A97" s="1" t="s">
        <v>202</v>
      </c>
      <c r="B97" s="28" t="str">
        <f>IF(ABS(C37-B37*B10)&lt;0.1,"OK","ERROR")</f>
        <v>OK</v>
      </c>
      <c r="C97" s="27">
        <f>C37-B37*B10</f>
        <v>0</v>
      </c>
      <c r="D97" s="78" t="s">
        <v>203</v>
      </c>
    </row>
    <row r="98" spans="1:4" ht="14.25" customHeight="1">
      <c r="A98" s="1" t="s">
        <v>204</v>
      </c>
      <c r="B98" s="28" t="str">
        <f>IF(ABS(B76-SUM(B73:B75))&lt;0.1,"OK","ERROR")</f>
        <v>OK</v>
      </c>
      <c r="C98" s="27">
        <f>B76-SUM(B73:B75)</f>
        <v>0</v>
      </c>
      <c r="D98" s="78" t="s">
        <v>205</v>
      </c>
    </row>
    <row r="99" spans="1:4" ht="14.25" customHeight="1">
      <c r="A99" s="52" t="s">
        <v>206</v>
      </c>
      <c r="B99" s="20" t="str">
        <f>IF(COUNTIF(B92:B98,"ERROR")=0,"OK","ERROR")</f>
        <v>OK</v>
      </c>
      <c r="C99" s="20"/>
      <c r="D99" s="78" t="s">
        <v>207</v>
      </c>
    </row>
  </sheetData>
  <mergeCells count="9">
    <mergeCell ref="A51:D51"/>
    <mergeCell ref="A72:D72"/>
    <mergeCell ref="B69:D69"/>
    <mergeCell ref="A3:D3"/>
    <mergeCell ref="A1:D1"/>
    <mergeCell ref="A2:D2"/>
    <mergeCell ref="A4:D4"/>
    <mergeCell ref="A20:D20"/>
    <mergeCell ref="A34:D3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5"/>
  <sheetViews>
    <sheetView showGridLines="0" topLeftCell="A22" workbookViewId="0">
      <selection sqref="A1:C1"/>
    </sheetView>
  </sheetViews>
  <sheetFormatPr defaultRowHeight="14.25"/>
  <cols>
    <col min="1" max="1" width="38" customWidth="1"/>
    <col min="2" max="3" width="35" customWidth="1"/>
    <col min="4" max="5" width="3" customWidth="1"/>
  </cols>
  <sheetData>
    <row r="1" spans="1:3" ht="18" customHeight="1">
      <c r="A1" s="105" t="s">
        <v>208</v>
      </c>
      <c r="B1" s="105"/>
      <c r="C1" s="105"/>
    </row>
    <row r="2" spans="1:3" ht="14.25" customHeight="1">
      <c r="A2" s="106" t="s">
        <v>343</v>
      </c>
      <c r="B2" s="106"/>
      <c r="C2" s="106"/>
    </row>
    <row r="3" spans="1:3" ht="14.25" customHeight="1">
      <c r="A3" s="107" t="s">
        <v>209</v>
      </c>
      <c r="B3" s="107"/>
      <c r="C3" s="107"/>
    </row>
    <row r="4" spans="1:3" ht="14.25" customHeight="1">
      <c r="A4" s="108" t="s">
        <v>210</v>
      </c>
      <c r="B4" s="108"/>
      <c r="C4" s="108"/>
    </row>
    <row r="5" spans="1:3" ht="14.25" customHeight="1">
      <c r="A5" s="68" t="s">
        <v>56</v>
      </c>
      <c r="B5" s="71" t="s">
        <v>344</v>
      </c>
      <c r="C5" s="71" t="s">
        <v>62</v>
      </c>
    </row>
    <row r="6" spans="1:3" ht="14.25" customHeight="1">
      <c r="A6" s="1" t="s">
        <v>211</v>
      </c>
      <c r="B6" s="5">
        <f>'ABB Financials'!$F$14</f>
        <v>5365.5</v>
      </c>
      <c r="C6" s="5">
        <f>'ABB Financials'!$G$14</f>
        <v>5633.7750000000005</v>
      </c>
    </row>
    <row r="7" spans="1:3" ht="14.25" customHeight="1">
      <c r="A7" s="1" t="s">
        <v>212</v>
      </c>
      <c r="B7" s="14">
        <f>'Rotork Financials'!$F$18</f>
        <v>114.87</v>
      </c>
      <c r="C7" s="14">
        <f>'Rotork Financials'!$G$18</f>
        <v>120.61350000000002</v>
      </c>
    </row>
    <row r="8" spans="1:3" ht="14.25" customHeight="1">
      <c r="A8" s="1" t="s">
        <v>213</v>
      </c>
      <c r="B8" s="6">
        <f>'Transaction &amp; Financing'!$B$10</f>
        <v>1.3475699999999999</v>
      </c>
      <c r="C8" s="6">
        <f>'Transaction &amp; Financing'!$B$10</f>
        <v>1.3475699999999999</v>
      </c>
    </row>
    <row r="9" spans="1:3" ht="14.25" customHeight="1">
      <c r="A9" s="1" t="s">
        <v>214</v>
      </c>
      <c r="B9" s="5">
        <f>B7*B8</f>
        <v>154.79536590000001</v>
      </c>
      <c r="C9" s="5">
        <f>C7*C8</f>
        <v>162.53513419500001</v>
      </c>
    </row>
    <row r="10" spans="1:3" ht="14.25" customHeight="1">
      <c r="A10" s="1" t="s">
        <v>215</v>
      </c>
      <c r="B10" s="10">
        <f>'Transaction &amp; Financing'!$C$68*'Transaction &amp; Financing'!$B$30</f>
        <v>0</v>
      </c>
      <c r="C10" s="10">
        <f>'Transaction &amp; Financing'!$C$68*'Transaction &amp; Financing'!$B$31</f>
        <v>84.17820599999996</v>
      </c>
    </row>
    <row r="11" spans="1:3" ht="14.25" customHeight="1">
      <c r="A11" s="1" t="s">
        <v>216</v>
      </c>
      <c r="B11" s="10">
        <f>B10*(1-'Transaction &amp; Financing'!$B$26)</f>
        <v>0</v>
      </c>
      <c r="C11" s="10">
        <f>C10*(1-'Transaction &amp; Financing'!$B$26)</f>
        <v>62.425394791922713</v>
      </c>
    </row>
    <row r="12" spans="1:3" ht="14.25" customHeight="1">
      <c r="A12" s="1" t="s">
        <v>217</v>
      </c>
      <c r="B12" s="10">
        <f>'Transaction &amp; Financing'!$B$80</f>
        <v>358.70498270397457</v>
      </c>
      <c r="C12" s="10">
        <f>'Transaction &amp; Financing'!$B$80</f>
        <v>358.70498270397457</v>
      </c>
    </row>
    <row r="13" spans="1:3" ht="14.25" customHeight="1">
      <c r="A13" s="1" t="s">
        <v>218</v>
      </c>
      <c r="B13" s="4">
        <f>'Transaction &amp; Financing'!$B$24</f>
        <v>4.4999999999999998E-2</v>
      </c>
      <c r="C13" s="4">
        <f>'Transaction &amp; Financing'!$B$24</f>
        <v>4.4999999999999998E-2</v>
      </c>
    </row>
    <row r="14" spans="1:3" ht="14.25" customHeight="1">
      <c r="A14" s="1" t="s">
        <v>219</v>
      </c>
      <c r="B14" s="10">
        <f>B12*B13</f>
        <v>16.141724221678857</v>
      </c>
      <c r="C14" s="10">
        <f>C12*C13</f>
        <v>16.141724221678857</v>
      </c>
    </row>
    <row r="15" spans="1:3" ht="14.25" customHeight="1">
      <c r="A15" s="1" t="s">
        <v>220</v>
      </c>
      <c r="B15" s="10">
        <f>'Transaction &amp; Financing'!$B$79*'Transaction &amp; Financing'!$B$25</f>
        <v>17.5</v>
      </c>
      <c r="C15" s="10">
        <f>'Transaction &amp; Financing'!$B$79*'Transaction &amp; Financing'!$B$25</f>
        <v>17.5</v>
      </c>
    </row>
    <row r="16" spans="1:3" ht="14.25" customHeight="1">
      <c r="A16" s="1" t="s">
        <v>185</v>
      </c>
      <c r="B16" s="10">
        <f>SUM(B14:B15)*(1-'Transaction &amp; Financing'!$B$26)</f>
        <v>24.948237980021723</v>
      </c>
      <c r="C16" s="10">
        <f>SUM(C14:C15)*(1-'Transaction &amp; Financing'!$B$26)</f>
        <v>24.948237980021723</v>
      </c>
    </row>
    <row r="17" spans="1:3" ht="14.25" customHeight="1">
      <c r="A17" s="1" t="s">
        <v>221</v>
      </c>
      <c r="B17" s="29">
        <f>0</f>
        <v>0</v>
      </c>
      <c r="C17" s="29">
        <f>0</f>
        <v>0</v>
      </c>
    </row>
    <row r="18" spans="1:3" ht="14.25" customHeight="1">
      <c r="A18" s="51" t="s">
        <v>222</v>
      </c>
      <c r="B18" s="16">
        <f>B6+B9-B16+B17</f>
        <v>5495.3471279199784</v>
      </c>
      <c r="C18" s="16">
        <f>C6+C9-C16+C17</f>
        <v>5771.3618962149785</v>
      </c>
    </row>
    <row r="19" spans="1:3" ht="14.25" customHeight="1">
      <c r="A19" s="52" t="s">
        <v>223</v>
      </c>
      <c r="B19" s="15">
        <f>B18+B11</f>
        <v>5495.3471279199784</v>
      </c>
      <c r="C19" s="15">
        <f>C18+C11</f>
        <v>5833.7872910069009</v>
      </c>
    </row>
    <row r="20" spans="1:3" ht="14.25" customHeight="1">
      <c r="A20" s="1" t="s">
        <v>224</v>
      </c>
      <c r="B20" s="11">
        <f>'ABB Financials'!$F$15</f>
        <v>1819</v>
      </c>
      <c r="C20" s="11">
        <f>'ABB Financials'!$G$15</f>
        <v>1819</v>
      </c>
    </row>
    <row r="21" spans="1:3" ht="14.25" customHeight="1">
      <c r="A21" s="51" t="s">
        <v>225</v>
      </c>
      <c r="B21" s="44">
        <f>B6/B20</f>
        <v>2.9496976360637714</v>
      </c>
      <c r="C21" s="44">
        <f>C6/C20</f>
        <v>3.0971825178669601</v>
      </c>
    </row>
    <row r="22" spans="1:3" ht="14.25" customHeight="1">
      <c r="A22" s="52" t="s">
        <v>226</v>
      </c>
      <c r="B22" s="18">
        <f>B18/B20</f>
        <v>3.0210814337108185</v>
      </c>
      <c r="C22" s="18">
        <f>C18/C20</f>
        <v>3.172821273345233</v>
      </c>
    </row>
    <row r="23" spans="1:3" ht="14.25" customHeight="1">
      <c r="A23" s="52" t="s">
        <v>227</v>
      </c>
      <c r="B23" s="18">
        <f>B19/B20</f>
        <v>3.0210814337108185</v>
      </c>
      <c r="C23" s="18">
        <f>C19/C20</f>
        <v>3.2071397971450804</v>
      </c>
    </row>
    <row r="24" spans="1:3" ht="14.25" customHeight="1">
      <c r="A24" s="1" t="s">
        <v>228</v>
      </c>
      <c r="B24" s="4">
        <f>B22/B21-1</f>
        <v>2.4200377955452268E-2</v>
      </c>
      <c r="C24" s="4">
        <f>C22/C21-1</f>
        <v>2.442179466076988E-2</v>
      </c>
    </row>
    <row r="25" spans="1:3" ht="14.25" customHeight="1">
      <c r="A25" s="51" t="s">
        <v>229</v>
      </c>
      <c r="B25" s="45">
        <f>B23/B21-1</f>
        <v>2.4200377955452268E-2</v>
      </c>
      <c r="C25" s="45">
        <f>C23/C21-1</f>
        <v>3.5502356946612412E-2</v>
      </c>
    </row>
    <row r="26" spans="1:3" ht="14.25" customHeight="1">
      <c r="A26" s="1" t="s">
        <v>230</v>
      </c>
      <c r="B26" s="42" t="str">
        <f>"No explicit EPS accretion timing guidance"</f>
        <v>No explicit EPS accretion timing guidance</v>
      </c>
      <c r="C26" s="42" t="str">
        <f>"No explicit EPS accretion timing guidance"</f>
        <v>No explicit EPS accretion timing guidance</v>
      </c>
    </row>
    <row r="27" spans="1:3" ht="14.25" customHeight="1">
      <c r="A27" s="1" t="s">
        <v>341</v>
      </c>
      <c r="B27" s="42" t="s">
        <v>345</v>
      </c>
      <c r="C27" s="42" t="s">
        <v>346</v>
      </c>
    </row>
    <row r="28" spans="1:3" ht="14.25" customHeight="1">
      <c r="A28" s="1" t="s">
        <v>231</v>
      </c>
      <c r="B28" s="98" t="str">
        <f>IF(B24&gt;=0,"N/A – accretive pre-synergy",MAX((B16-B9)/(1-'Transaction &amp; Financing'!$B$26),0))</f>
        <v>N/A – accretive pre-synergy</v>
      </c>
      <c r="C28" s="98" t="str">
        <f>IF(C24&gt;=0,"N/A – accretive pre-synergy",MAX((C16-C9)/(1-'Transaction &amp; Financing'!$B$26),0))</f>
        <v>N/A – accretive pre-synergy</v>
      </c>
    </row>
    <row r="29" spans="1:3" ht="14.25" customHeight="1">
      <c r="A29" s="49"/>
      <c r="B29" s="50"/>
      <c r="C29" s="50"/>
    </row>
    <row r="30" spans="1:3" ht="14.25" customHeight="1">
      <c r="A30" s="109" t="s">
        <v>232</v>
      </c>
      <c r="B30" s="110"/>
      <c r="C30" s="110"/>
    </row>
    <row r="31" spans="1:3" ht="14.25" customHeight="1">
      <c r="A31" s="1" t="s">
        <v>233</v>
      </c>
      <c r="B31" s="103" t="s">
        <v>234</v>
      </c>
      <c r="C31" s="103"/>
    </row>
    <row r="32" spans="1:3" ht="14.25" customHeight="1">
      <c r="A32" s="1" t="s">
        <v>235</v>
      </c>
      <c r="B32" s="103" t="s">
        <v>236</v>
      </c>
      <c r="C32" s="103"/>
    </row>
    <row r="33" spans="1:3" ht="14.25" customHeight="1">
      <c r="A33" s="1" t="s">
        <v>237</v>
      </c>
      <c r="B33" s="103" t="s">
        <v>238</v>
      </c>
      <c r="C33" s="103"/>
    </row>
    <row r="34" spans="1:3" ht="14.25" customHeight="1">
      <c r="A34" s="1" t="s">
        <v>239</v>
      </c>
      <c r="B34" s="103" t="s">
        <v>240</v>
      </c>
      <c r="C34" s="103"/>
    </row>
    <row r="35" spans="1:3" ht="14.25" customHeight="1">
      <c r="A35" s="1" t="s">
        <v>241</v>
      </c>
      <c r="B35" s="103" t="s">
        <v>242</v>
      </c>
      <c r="C35" s="103"/>
    </row>
  </sheetData>
  <mergeCells count="10">
    <mergeCell ref="A1:C1"/>
    <mergeCell ref="A2:C2"/>
    <mergeCell ref="A4:C4"/>
    <mergeCell ref="A30:C30"/>
    <mergeCell ref="B31:C31"/>
    <mergeCell ref="B32:C32"/>
    <mergeCell ref="B33:C33"/>
    <mergeCell ref="B34:C34"/>
    <mergeCell ref="B35:C35"/>
    <mergeCell ref="A3:C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9"/>
  <sheetViews>
    <sheetView showGridLines="0" tabSelected="1" topLeftCell="C1" workbookViewId="0">
      <selection activeCell="B35" sqref="B35"/>
    </sheetView>
  </sheetViews>
  <sheetFormatPr defaultRowHeight="14.25"/>
  <cols>
    <col min="1" max="6" width="38" customWidth="1"/>
  </cols>
  <sheetData>
    <row r="1" spans="1:6" ht="18" customHeight="1">
      <c r="A1" s="105" t="s">
        <v>243</v>
      </c>
      <c r="B1" s="105"/>
      <c r="C1" s="105"/>
      <c r="D1" s="105"/>
      <c r="E1" s="105"/>
      <c r="F1" s="105"/>
    </row>
    <row r="2" spans="1:6" ht="14.25" customHeight="1">
      <c r="A2" s="106" t="s">
        <v>244</v>
      </c>
      <c r="B2" s="106"/>
      <c r="C2" s="106"/>
      <c r="D2" s="106"/>
      <c r="E2" s="106"/>
      <c r="F2" s="106"/>
    </row>
    <row r="3" spans="1:6" ht="14.25" customHeight="1">
      <c r="A3" s="46"/>
      <c r="B3" s="46"/>
      <c r="C3" s="46"/>
      <c r="D3" s="46"/>
      <c r="E3" s="46"/>
      <c r="F3" s="46"/>
    </row>
    <row r="4" spans="1:6" ht="14.25" customHeight="1">
      <c r="A4" s="108" t="s">
        <v>245</v>
      </c>
      <c r="B4" s="108"/>
      <c r="C4" s="108"/>
      <c r="D4" s="108"/>
      <c r="E4" s="108"/>
      <c r="F4" s="108"/>
    </row>
    <row r="5" spans="1:6" ht="14.25" customHeight="1">
      <c r="A5" s="94" t="s">
        <v>246</v>
      </c>
      <c r="B5" s="99">
        <v>3.5000000000000003E-2</v>
      </c>
      <c r="C5" s="99">
        <v>4.4999999999999998E-2</v>
      </c>
      <c r="D5" s="99">
        <v>5.5E-2</v>
      </c>
      <c r="E5" s="99">
        <v>6.5000000000000002E-2</v>
      </c>
      <c r="F5" s="94" t="s">
        <v>247</v>
      </c>
    </row>
    <row r="6" spans="1:6" ht="14.25" customHeight="1">
      <c r="A6" s="8">
        <f>0</f>
        <v>0</v>
      </c>
      <c r="B6" s="4">
        <f>((('Accretion-Dilution'!$C$6+'Accretion-Dilution'!$C$9+($A6*(1-'Transaction &amp; Financing'!$B$26))-(('Transaction &amp; Financing'!$B$80*B$5)+'Transaction &amp; Financing'!$B$79*'Transaction &amp; Financing'!$B$25)*(1-'Transaction &amp; Financing'!$B$26))/'Accretion-Dilution'!$C$20)/'Accretion-Dilution'!$C$21)-1</f>
        <v>2.4893965914109861E-2</v>
      </c>
      <c r="C6" s="4">
        <f>((('Accretion-Dilution'!$C$6+'Accretion-Dilution'!$C$9+($A6*(1-'Transaction &amp; Financing'!$B$26))-(('Transaction &amp; Financing'!$B$80*C$5)+'Transaction &amp; Financing'!$B$79*'Transaction &amp; Financing'!$B$25)*(1-'Transaction &amp; Financing'!$B$26))/'Accretion-Dilution'!$C$20)/'Accretion-Dilution'!$C$21)-1</f>
        <v>2.442179466076988E-2</v>
      </c>
      <c r="D6" s="4">
        <f>((('Accretion-Dilution'!$C$6+'Accretion-Dilution'!$C$9+($A6*(1-'Transaction &amp; Financing'!$B$26))-(('Transaction &amp; Financing'!$B$80*D$5)+'Transaction &amp; Financing'!$B$79*'Transaction &amp; Financing'!$B$25)*(1-'Transaction &amp; Financing'!$B$26))/'Accretion-Dilution'!$C$20)/'Accretion-Dilution'!$C$21)-1</f>
        <v>2.3949623407429899E-2</v>
      </c>
      <c r="E6" s="4">
        <f>((('Accretion-Dilution'!$C$6+'Accretion-Dilution'!$C$9+($A6*(1-'Transaction &amp; Financing'!$B$26))-(('Transaction &amp; Financing'!$B$80*E$5)+'Transaction &amp; Financing'!$B$79*'Transaction &amp; Financing'!$B$25)*(1-'Transaction &amp; Financing'!$B$26))/'Accretion-Dilution'!$C$20)/'Accretion-Dilution'!$C$21)-1</f>
        <v>2.3477452154089695E-2</v>
      </c>
      <c r="F6" s="43">
        <f>((('Accretion-Dilution'!$C$6+'Accretion-Dilution'!$C$9+($A6*(1-'Transaction &amp; Financing'!$B$26))-(('Transaction &amp; Financing'!$B$80*'Transaction &amp; Financing'!$B$24)+'Transaction &amp; Financing'!$B$79*'Transaction &amp; Financing'!$B$25)*(1-'Transaction &amp; Financing'!$B$26))/'Accretion-Dilution'!$C$20)/'Accretion-Dilution'!$C$21)-1</f>
        <v>2.442179466076988E-2</v>
      </c>
    </row>
    <row r="7" spans="1:6" ht="14.25" customHeight="1">
      <c r="A7" s="5">
        <f>'Transaction &amp; Financing'!$C$67</f>
        <v>61.247056499999985</v>
      </c>
      <c r="B7" s="4">
        <f>((('Accretion-Dilution'!$C$6+'Accretion-Dilution'!$C$9+($A7*(1-'Transaction &amp; Financing'!$B$26))-(('Transaction &amp; Financing'!$B$80*B$5)+'Transaction &amp; Financing'!$B$79*'Transaction &amp; Financing'!$B$25)*(1-'Transaction &amp; Financing'!$B$26))/'Accretion-Dilution'!$C$20)/'Accretion-Dilution'!$C$21)-1</f>
        <v>3.2956050586866681E-2</v>
      </c>
      <c r="C7" s="4">
        <f>((('Accretion-Dilution'!$C$6+'Accretion-Dilution'!$C$9+($A7*(1-'Transaction &amp; Financing'!$B$26))-(('Transaction &amp; Financing'!$B$80*C$5)+'Transaction &amp; Financing'!$B$79*'Transaction &amp; Financing'!$B$25)*(1-'Transaction &amp; Financing'!$B$26))/'Accretion-Dilution'!$C$20)/'Accretion-Dilution'!$C$21)-1</f>
        <v>3.24838793335267E-2</v>
      </c>
      <c r="D7" s="4">
        <f>((('Accretion-Dilution'!$C$6+'Accretion-Dilution'!$C$9+($A7*(1-'Transaction &amp; Financing'!$B$26))-(('Transaction &amp; Financing'!$B$80*D$5)+'Transaction &amp; Financing'!$B$79*'Transaction &amp; Financing'!$B$25)*(1-'Transaction &amp; Financing'!$B$26))/'Accretion-Dilution'!$C$20)/'Accretion-Dilution'!$C$21)-1</f>
        <v>3.2011708080186718E-2</v>
      </c>
      <c r="E7" s="4">
        <f>((('Accretion-Dilution'!$C$6+'Accretion-Dilution'!$C$9+($A7*(1-'Transaction &amp; Financing'!$B$26))-(('Transaction &amp; Financing'!$B$80*E$5)+'Transaction &amp; Financing'!$B$79*'Transaction &amp; Financing'!$B$25)*(1-'Transaction &amp; Financing'!$B$26))/'Accretion-Dilution'!$C$20)/'Accretion-Dilution'!$C$21)-1</f>
        <v>3.1539536826846515E-2</v>
      </c>
      <c r="F7" s="43">
        <f>((('Accretion-Dilution'!$C$6+'Accretion-Dilution'!$C$9+($A7*(1-'Transaction &amp; Financing'!$B$26))-(('Transaction &amp; Financing'!$B$80*'Transaction &amp; Financing'!$B$24)+'Transaction &amp; Financing'!$B$79*'Transaction &amp; Financing'!$B$25)*(1-'Transaction &amp; Financing'!$B$26))/'Accretion-Dilution'!$C$20)/'Accretion-Dilution'!$C$21)-1</f>
        <v>3.24838793335267E-2</v>
      </c>
    </row>
    <row r="8" spans="1:6" ht="14.25" customHeight="1">
      <c r="A8" s="5">
        <f>'Transaction &amp; Financing'!$C$66</f>
        <v>84.178205999999989</v>
      </c>
      <c r="B8" s="4">
        <f>((('Accretion-Dilution'!$C$6+'Accretion-Dilution'!$C$9+($A8*(1-'Transaction &amp; Financing'!$B$26))-(('Transaction &amp; Financing'!$B$80*B$5)+'Transaction &amp; Financing'!$B$79*'Transaction &amp; Financing'!$B$25)*(1-'Transaction &amp; Financing'!$B$26))/'Accretion-Dilution'!$C$20)/'Accretion-Dilution'!$C$21)-1</f>
        <v>3.5974528199952394E-2</v>
      </c>
      <c r="C8" s="4">
        <f>((('Accretion-Dilution'!$C$6+'Accretion-Dilution'!$C$9+($A8*(1-'Transaction &amp; Financing'!$B$26))-(('Transaction &amp; Financing'!$B$80*C$5)+'Transaction &amp; Financing'!$B$79*'Transaction &amp; Financing'!$B$25)*(1-'Transaction &amp; Financing'!$B$26))/'Accretion-Dilution'!$C$20)/'Accretion-Dilution'!$C$21)-1</f>
        <v>3.5502356946612412E-2</v>
      </c>
      <c r="D8" s="4">
        <f>((('Accretion-Dilution'!$C$6+'Accretion-Dilution'!$C$9+($A8*(1-'Transaction &amp; Financing'!$B$26))-(('Transaction &amp; Financing'!$B$80*D$5)+'Transaction &amp; Financing'!$B$79*'Transaction &amp; Financing'!$B$25)*(1-'Transaction &amp; Financing'!$B$26))/'Accretion-Dilution'!$C$20)/'Accretion-Dilution'!$C$21)-1</f>
        <v>3.5030185693272431E-2</v>
      </c>
      <c r="E8" s="4">
        <f>((('Accretion-Dilution'!$C$6+'Accretion-Dilution'!$C$9+($A8*(1-'Transaction &amp; Financing'!$B$26))-(('Transaction &amp; Financing'!$B$80*E$5)+'Transaction &amp; Financing'!$B$79*'Transaction &amp; Financing'!$B$25)*(1-'Transaction &amp; Financing'!$B$26))/'Accretion-Dilution'!$C$20)/'Accretion-Dilution'!$C$21)-1</f>
        <v>3.4558014439932228E-2</v>
      </c>
      <c r="F8" s="43">
        <f>((('Accretion-Dilution'!$C$6+'Accretion-Dilution'!$C$9+($A8*(1-'Transaction &amp; Financing'!$B$26))-(('Transaction &amp; Financing'!$B$80*'Transaction &amp; Financing'!$B$24)+'Transaction &amp; Financing'!$B$79*'Transaction &amp; Financing'!$B$25)*(1-'Transaction &amp; Financing'!$B$26))/'Accretion-Dilution'!$C$20)/'Accretion-Dilution'!$C$21)-1</f>
        <v>3.5502356946612412E-2</v>
      </c>
    </row>
    <row r="9" spans="1:6" ht="14.25" customHeight="1">
      <c r="A9" s="5">
        <f>'Transaction &amp; Financing'!$C$65</f>
        <v>110.38523399999997</v>
      </c>
      <c r="B9" s="4">
        <f>((('Accretion-Dilution'!$C$6+'Accretion-Dilution'!$C$9+($A9*(1-'Transaction &amp; Financing'!$B$26))-(('Transaction &amp; Financing'!$B$80*B$5)+'Transaction &amp; Financing'!$B$79*'Transaction &amp; Financing'!$B$25)*(1-'Transaction &amp; Financing'!$B$26))/'Accretion-Dilution'!$C$20)/'Accretion-Dilution'!$C$21)-1</f>
        <v>3.9424216900621811E-2</v>
      </c>
      <c r="C9" s="4">
        <f>((('Accretion-Dilution'!$C$6+'Accretion-Dilution'!$C$9+($A9*(1-'Transaction &amp; Financing'!$B$26))-(('Transaction &amp; Financing'!$B$80*C$5)+'Transaction &amp; Financing'!$B$79*'Transaction &amp; Financing'!$B$25)*(1-'Transaction &amp; Financing'!$B$26))/'Accretion-Dilution'!$C$20)/'Accretion-Dilution'!$C$21)-1</f>
        <v>3.8952045647281608E-2</v>
      </c>
      <c r="D9" s="4">
        <f>((('Accretion-Dilution'!$C$6+'Accretion-Dilution'!$C$9+($A9*(1-'Transaction &amp; Financing'!$B$26))-(('Transaction &amp; Financing'!$B$80*D$5)+'Transaction &amp; Financing'!$B$79*'Transaction &amp; Financing'!$B$25)*(1-'Transaction &amp; Financing'!$B$26))/'Accretion-Dilution'!$C$20)/'Accretion-Dilution'!$C$21)-1</f>
        <v>3.8479874393941849E-2</v>
      </c>
      <c r="E9" s="4">
        <f>((('Accretion-Dilution'!$C$6+'Accretion-Dilution'!$C$9+($A9*(1-'Transaction &amp; Financing'!$B$26))-(('Transaction &amp; Financing'!$B$80*E$5)+'Transaction &amp; Financing'!$B$79*'Transaction &amp; Financing'!$B$25)*(1-'Transaction &amp; Financing'!$B$26))/'Accretion-Dilution'!$C$20)/'Accretion-Dilution'!$C$21)-1</f>
        <v>3.8007703140601645E-2</v>
      </c>
      <c r="F9" s="43">
        <f>((('Accretion-Dilution'!$C$6+'Accretion-Dilution'!$C$9+($A9*(1-'Transaction &amp; Financing'!$B$26))-(('Transaction &amp; Financing'!$B$80*'Transaction &amp; Financing'!$B$24)+'Transaction &amp; Financing'!$B$79*'Transaction &amp; Financing'!$B$25)*(1-'Transaction &amp; Financing'!$B$26))/'Accretion-Dilution'!$C$20)/'Accretion-Dilution'!$C$21)-1</f>
        <v>3.8952045647281608E-2</v>
      </c>
    </row>
    <row r="10" spans="1:6" ht="14.25" customHeight="1">
      <c r="A10" s="29">
        <f>130</f>
        <v>130</v>
      </c>
      <c r="B10" s="4">
        <f>((('Accretion-Dilution'!$C$6+'Accretion-Dilution'!$C$9+($A10*(1-'Transaction &amp; Financing'!$B$26))-(('Transaction &amp; Financing'!$B$80*B$5)+'Transaction &amp; Financing'!$B$79*'Transaction &amp; Financing'!$B$25)*(1-'Transaction &amp; Financing'!$B$26))/'Accretion-Dilution'!$C$20)/'Accretion-Dilution'!$C$21)-1</f>
        <v>4.2006151663940727E-2</v>
      </c>
      <c r="C10" s="4">
        <f>((('Accretion-Dilution'!$C$6+'Accretion-Dilution'!$C$9+($A10*(1-'Transaction &amp; Financing'!$B$26))-(('Transaction &amp; Financing'!$B$80*C$5)+'Transaction &amp; Financing'!$B$79*'Transaction &amp; Financing'!$B$25)*(1-'Transaction &amp; Financing'!$B$26))/'Accretion-Dilution'!$C$20)/'Accretion-Dilution'!$C$21)-1</f>
        <v>4.1533980410600746E-2</v>
      </c>
      <c r="D10" s="4">
        <f>((('Accretion-Dilution'!$C$6+'Accretion-Dilution'!$C$9+($A10*(1-'Transaction &amp; Financing'!$B$26))-(('Transaction &amp; Financing'!$B$80*D$5)+'Transaction &amp; Financing'!$B$79*'Transaction &amp; Financing'!$B$25)*(1-'Transaction &amp; Financing'!$B$26))/'Accretion-Dilution'!$C$20)/'Accretion-Dilution'!$C$21)-1</f>
        <v>4.1061809157260765E-2</v>
      </c>
      <c r="E10" s="4">
        <f>((('Accretion-Dilution'!$C$6+'Accretion-Dilution'!$C$9+($A10*(1-'Transaction &amp; Financing'!$B$26))-(('Transaction &amp; Financing'!$B$80*E$5)+'Transaction &amp; Financing'!$B$79*'Transaction &amp; Financing'!$B$25)*(1-'Transaction &amp; Financing'!$B$26))/'Accretion-Dilution'!$C$20)/'Accretion-Dilution'!$C$21)-1</f>
        <v>4.0589637903920783E-2</v>
      </c>
      <c r="F10" s="43">
        <f>((('Accretion-Dilution'!$C$6+'Accretion-Dilution'!$C$9+($A10*(1-'Transaction &amp; Financing'!$B$26))-(('Transaction &amp; Financing'!$B$80*'Transaction &amp; Financing'!$B$24)+'Transaction &amp; Financing'!$B$79*'Transaction &amp; Financing'!$B$25)*(1-'Transaction &amp; Financing'!$B$26))/'Accretion-Dilution'!$C$20)/'Accretion-Dilution'!$C$21)-1</f>
        <v>4.1533980410600746E-2</v>
      </c>
    </row>
    <row r="11" spans="1:6" ht="14.25" customHeight="1">
      <c r="A11" s="46"/>
      <c r="B11" s="46"/>
      <c r="C11" s="46"/>
      <c r="D11" s="46"/>
      <c r="E11" s="46"/>
      <c r="F11" s="46"/>
    </row>
    <row r="12" spans="1:6" ht="14.25" customHeight="1">
      <c r="A12" s="108" t="s">
        <v>248</v>
      </c>
      <c r="B12" s="108"/>
      <c r="C12" s="108"/>
      <c r="D12" s="108"/>
      <c r="E12" s="108"/>
      <c r="F12" s="108"/>
    </row>
    <row r="13" spans="1:6" ht="14.25" customHeight="1">
      <c r="A13" s="1" t="s">
        <v>249</v>
      </c>
      <c r="B13" s="103" t="s">
        <v>250</v>
      </c>
      <c r="C13" s="119"/>
      <c r="D13" s="119"/>
      <c r="E13" s="119"/>
      <c r="F13" s="119"/>
    </row>
    <row r="14" spans="1:6" ht="14.25" customHeight="1">
      <c r="A14" s="1" t="s">
        <v>251</v>
      </c>
      <c r="B14" s="103" t="s">
        <v>252</v>
      </c>
      <c r="C14" s="119"/>
      <c r="D14" s="119"/>
      <c r="E14" s="119"/>
      <c r="F14" s="119"/>
    </row>
    <row r="15" spans="1:6" ht="14.25" customHeight="1">
      <c r="A15" s="1" t="s">
        <v>253</v>
      </c>
      <c r="B15" s="103" t="s">
        <v>254</v>
      </c>
      <c r="C15" s="119"/>
      <c r="D15" s="119"/>
      <c r="E15" s="119"/>
      <c r="F15" s="119"/>
    </row>
    <row r="16" spans="1:6" ht="14.25" customHeight="1">
      <c r="A16" s="46"/>
      <c r="B16" s="47"/>
      <c r="C16" s="47"/>
      <c r="D16" s="47"/>
      <c r="E16" s="46"/>
      <c r="F16" s="46"/>
    </row>
    <row r="17" spans="1:6" ht="14.25" customHeight="1">
      <c r="A17" s="108" t="s">
        <v>255</v>
      </c>
      <c r="B17" s="110"/>
      <c r="C17" s="110"/>
      <c r="D17" s="110"/>
      <c r="E17" s="58"/>
      <c r="F17" s="58"/>
    </row>
    <row r="18" spans="1:6" ht="14.25" customHeight="1">
      <c r="A18" s="100" t="s">
        <v>256</v>
      </c>
      <c r="B18" s="97" t="s">
        <v>257</v>
      </c>
      <c r="C18" s="97" t="s">
        <v>258</v>
      </c>
      <c r="D18" s="97" t="s">
        <v>259</v>
      </c>
      <c r="E18" s="73"/>
      <c r="F18" s="73"/>
    </row>
    <row r="19" spans="1:6" ht="42.75">
      <c r="A19" s="72" t="s">
        <v>260</v>
      </c>
      <c r="B19" s="42" t="s">
        <v>261</v>
      </c>
      <c r="C19" s="42" t="s">
        <v>262</v>
      </c>
      <c r="D19" s="48" t="s">
        <v>263</v>
      </c>
      <c r="E19" s="74"/>
      <c r="F19" s="74"/>
    </row>
    <row r="20" spans="1:6" ht="42.75">
      <c r="A20" s="72" t="s">
        <v>264</v>
      </c>
      <c r="B20" s="42" t="s">
        <v>265</v>
      </c>
      <c r="C20" s="42" t="s">
        <v>266</v>
      </c>
      <c r="D20" s="48" t="s">
        <v>267</v>
      </c>
      <c r="E20" s="74"/>
      <c r="F20" s="74"/>
    </row>
    <row r="21" spans="1:6" ht="39.6" customHeight="1">
      <c r="A21" s="72" t="s">
        <v>268</v>
      </c>
      <c r="B21" s="42" t="s">
        <v>269</v>
      </c>
      <c r="C21" s="42" t="s">
        <v>270</v>
      </c>
      <c r="D21" s="48" t="s">
        <v>271</v>
      </c>
      <c r="E21" s="74"/>
      <c r="F21" s="74"/>
    </row>
    <row r="22" spans="1:6" ht="32.450000000000003" customHeight="1">
      <c r="A22" s="72" t="s">
        <v>272</v>
      </c>
      <c r="B22" s="42" t="s">
        <v>273</v>
      </c>
      <c r="C22" s="42" t="s">
        <v>274</v>
      </c>
      <c r="D22" s="48" t="s">
        <v>275</v>
      </c>
      <c r="E22" s="74"/>
      <c r="F22" s="74"/>
    </row>
    <row r="23" spans="1:6" ht="42.75">
      <c r="A23" s="72" t="s">
        <v>276</v>
      </c>
      <c r="B23" s="42" t="s">
        <v>277</v>
      </c>
      <c r="C23" s="42" t="s">
        <v>278</v>
      </c>
      <c r="D23" s="48" t="s">
        <v>279</v>
      </c>
      <c r="E23" s="74"/>
      <c r="F23" s="74"/>
    </row>
    <row r="24" spans="1:6" ht="42.75">
      <c r="A24" s="72" t="s">
        <v>280</v>
      </c>
      <c r="B24" s="42" t="s">
        <v>281</v>
      </c>
      <c r="C24" s="42" t="s">
        <v>282</v>
      </c>
      <c r="D24" s="48" t="s">
        <v>283</v>
      </c>
      <c r="E24" s="74"/>
      <c r="F24" s="74"/>
    </row>
    <row r="25" spans="1:6" ht="42.75">
      <c r="A25" s="72" t="s">
        <v>284</v>
      </c>
      <c r="B25" s="42" t="s">
        <v>285</v>
      </c>
      <c r="C25" s="42" t="s">
        <v>286</v>
      </c>
      <c r="D25" s="48" t="s">
        <v>287</v>
      </c>
      <c r="E25" s="74"/>
      <c r="F25" s="74"/>
    </row>
    <row r="26" spans="1:6" ht="42.75">
      <c r="A26" s="72" t="s">
        <v>288</v>
      </c>
      <c r="B26" s="42" t="s">
        <v>289</v>
      </c>
      <c r="C26" s="42" t="s">
        <v>290</v>
      </c>
      <c r="D26" s="48" t="s">
        <v>283</v>
      </c>
      <c r="E26" s="74"/>
      <c r="F26" s="74"/>
    </row>
    <row r="27" spans="1:6" ht="28.5">
      <c r="A27" s="72" t="s">
        <v>291</v>
      </c>
      <c r="B27" s="42" t="s">
        <v>292</v>
      </c>
      <c r="C27" s="42" t="s">
        <v>293</v>
      </c>
      <c r="D27" s="48" t="s">
        <v>294</v>
      </c>
      <c r="E27" s="74"/>
      <c r="F27" s="74"/>
    </row>
    <row r="28" spans="1:6" ht="28.5">
      <c r="A28" s="72" t="s">
        <v>295</v>
      </c>
      <c r="B28" s="42" t="s">
        <v>296</v>
      </c>
      <c r="C28" s="42" t="s">
        <v>297</v>
      </c>
      <c r="D28" s="48" t="s">
        <v>298</v>
      </c>
      <c r="E28" s="74"/>
      <c r="F28" s="74"/>
    </row>
    <row r="29" spans="1:6" ht="28.5">
      <c r="A29" s="72" t="s">
        <v>299</v>
      </c>
      <c r="B29" s="42" t="s">
        <v>300</v>
      </c>
      <c r="C29" s="42" t="s">
        <v>301</v>
      </c>
      <c r="D29" s="48" t="s">
        <v>298</v>
      </c>
      <c r="E29" s="74"/>
      <c r="F29" s="74"/>
    </row>
    <row r="30" spans="1:6" ht="28.5">
      <c r="A30" s="72" t="s">
        <v>302</v>
      </c>
      <c r="B30" s="42" t="s">
        <v>303</v>
      </c>
      <c r="C30" s="42" t="s">
        <v>304</v>
      </c>
      <c r="D30" s="48" t="s">
        <v>305</v>
      </c>
      <c r="E30" s="74"/>
      <c r="F30" s="74"/>
    </row>
    <row r="31" spans="1:6" ht="28.5">
      <c r="A31" s="72" t="s">
        <v>306</v>
      </c>
      <c r="B31" s="42" t="s">
        <v>307</v>
      </c>
      <c r="C31" s="42" t="s">
        <v>308</v>
      </c>
      <c r="D31" s="48" t="s">
        <v>309</v>
      </c>
      <c r="E31" s="74"/>
      <c r="F31" s="74"/>
    </row>
    <row r="32" spans="1:6" ht="28.5">
      <c r="A32" s="72" t="s">
        <v>310</v>
      </c>
      <c r="B32" s="42" t="s">
        <v>311</v>
      </c>
      <c r="C32" s="42" t="s">
        <v>312</v>
      </c>
      <c r="D32" s="48" t="s">
        <v>313</v>
      </c>
      <c r="E32" s="74"/>
      <c r="F32" s="74"/>
    </row>
    <row r="33" spans="1:6" ht="28.5">
      <c r="A33" s="72" t="s">
        <v>314</v>
      </c>
      <c r="B33" s="42" t="s">
        <v>315</v>
      </c>
      <c r="C33" s="42" t="s">
        <v>316</v>
      </c>
      <c r="D33" s="48" t="s">
        <v>317</v>
      </c>
      <c r="E33" s="74"/>
      <c r="F33" s="74"/>
    </row>
    <row r="34" spans="1:6" ht="28.5">
      <c r="A34" s="72" t="s">
        <v>318</v>
      </c>
      <c r="B34" s="42" t="s">
        <v>319</v>
      </c>
      <c r="C34" s="42" t="s">
        <v>320</v>
      </c>
      <c r="D34" s="48" t="s">
        <v>321</v>
      </c>
      <c r="E34" s="74"/>
      <c r="F34" s="74"/>
    </row>
    <row r="35" spans="1:6" ht="42.75">
      <c r="A35" s="72" t="s">
        <v>322</v>
      </c>
      <c r="B35" s="42" t="s">
        <v>323</v>
      </c>
      <c r="C35" s="42" t="s">
        <v>324</v>
      </c>
      <c r="D35" s="48" t="s">
        <v>325</v>
      </c>
      <c r="E35" s="74"/>
      <c r="F35" s="74"/>
    </row>
    <row r="36" spans="1:6" ht="42.75">
      <c r="A36" s="72" t="s">
        <v>326</v>
      </c>
      <c r="B36" s="42" t="s">
        <v>327</v>
      </c>
      <c r="C36" s="42" t="s">
        <v>328</v>
      </c>
      <c r="D36" s="48" t="s">
        <v>329</v>
      </c>
      <c r="E36" s="74"/>
      <c r="F36" s="74"/>
    </row>
    <row r="37" spans="1:6" ht="42.75">
      <c r="A37" s="72" t="s">
        <v>330</v>
      </c>
      <c r="B37" s="42" t="s">
        <v>331</v>
      </c>
      <c r="C37" s="42" t="s">
        <v>332</v>
      </c>
      <c r="D37" s="48" t="s">
        <v>329</v>
      </c>
      <c r="E37" s="74"/>
      <c r="F37" s="74"/>
    </row>
    <row r="38" spans="1:6" ht="39.6" customHeight="1">
      <c r="A38" s="72" t="s">
        <v>333</v>
      </c>
      <c r="B38" s="42" t="s">
        <v>334</v>
      </c>
      <c r="C38" s="42" t="s">
        <v>335</v>
      </c>
      <c r="D38" s="48" t="s">
        <v>336</v>
      </c>
      <c r="E38" s="74"/>
      <c r="F38" s="74"/>
    </row>
    <row r="39" spans="1:6" ht="33" customHeight="1"/>
  </sheetData>
  <mergeCells count="8">
    <mergeCell ref="A17:D17"/>
    <mergeCell ref="B14:F14"/>
    <mergeCell ref="B15:F15"/>
    <mergeCell ref="B13:F13"/>
    <mergeCell ref="A1:F1"/>
    <mergeCell ref="A2:F2"/>
    <mergeCell ref="A4:F4"/>
    <mergeCell ref="A12:F12"/>
  </mergeCells>
  <conditionalFormatting sqref="B6:E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Transaction Summary</vt:lpstr>
      <vt:lpstr>ABB Financials</vt:lpstr>
      <vt:lpstr>Rotork Financials</vt:lpstr>
      <vt:lpstr>Transaction &amp; Financing</vt:lpstr>
      <vt:lpstr>Accretion-Dilution</vt:lpstr>
      <vt:lpstr>Sensitivity &amp;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Jenifer E</dc:creator>
  <cp:lastModifiedBy>Jenifer E</cp:lastModifiedBy>
  <dcterms:created xsi:type="dcterms:W3CDTF">2026-09-07T22:08:49Z</dcterms:created>
  <dcterms:modified xsi:type="dcterms:W3CDTF">2026-09-07T22:08:49Z</dcterms:modified>
</cp:coreProperties>
</file>